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F:\Production\myproject\"/>
    </mc:Choice>
  </mc:AlternateContent>
  <xr:revisionPtr revIDLastSave="0" documentId="8_{7A983C45-F729-4816-96A5-EB2D639EFE0F}" xr6:coauthVersionLast="47" xr6:coauthVersionMax="47" xr10:uidLastSave="{00000000-0000-0000-0000-000000000000}"/>
  <bookViews>
    <workbookView xWindow="-120" yWindow="-120" windowWidth="29040" windowHeight="15720" firstSheet="18" activeTab="24" xr2:uid="{00000000-000D-0000-FFFF-FFFF00000000}"/>
  </bookViews>
  <sheets>
    <sheet name="Bảng tổng" sheetId="33" r:id="rId1"/>
    <sheet name="THÙNG OTAKMI320,80" sheetId="1" r:id="rId2"/>
    <sheet name="THÙNG OTAKAMI320,76" sheetId="97" r:id="rId3"/>
    <sheet name="THÙNG OTAKAMI180,80  " sheetId="2" r:id="rId4"/>
    <sheet name="Thùng otakami 700,80" sheetId="3" r:id="rId5"/>
    <sheet name="Thùng otakami 700,76 " sheetId="4" r:id="rId6"/>
    <sheet name="Thùng otakami 160,80" sheetId="5" r:id="rId7"/>
    <sheet name="Phôi DL 15,2L" sheetId="7" r:id="rId8"/>
    <sheet name="Phôi DL 15,5. 2 L" sheetId="130" r:id="rId9"/>
    <sheet name="Phôi DL 18,2L.700g" sheetId="124" r:id="rId10"/>
    <sheet name="Phôi DL 18,1L.700g ,2 L" sheetId="129" r:id="rId11"/>
    <sheet name="Phôi DL 23,2L.160m" sheetId="125" r:id="rId12"/>
    <sheet name="Phôi DL 18,2L.600g " sheetId="126" r:id="rId13"/>
    <sheet name="Phôi DL 16,2L.180m" sheetId="127" r:id="rId14"/>
    <sheet name="Phôi DL 18,1L,600" sheetId="128" r:id="rId15"/>
    <sheet name="Phôi DL 18,5,2L" sheetId="131" r:id="rId16"/>
    <sheet name="Lõi 76" sheetId="8" r:id="rId17"/>
    <sheet name="Lõi 80" sheetId="9" r:id="rId18"/>
    <sheet name="Lõi 87" sheetId="132" r:id="rId19"/>
    <sheet name="Bao trắng 600g,bb,80 " sheetId="10" r:id="rId20"/>
    <sheet name="Bao trắng 320 M ,C " sheetId="55" r:id="rId21"/>
    <sheet name="Bao 320 M ,76 MTL" sheetId="114" r:id="rId22"/>
    <sheet name="Bao trắng 4, 320 M,76 MTL" sheetId="56" r:id="rId23"/>
    <sheet name="màng co" sheetId="133" r:id="rId24"/>
    <sheet name="Tong hop NVL" sheetId="134" r:id="rId25"/>
  </sheets>
  <externalReferences>
    <externalReference r:id="rId26"/>
  </externalReferences>
  <definedNames>
    <definedName name="_xlnm._FilterDatabase" localSheetId="7" hidden="1">'Phôi DL 15,2L'!$A$8:$I$47</definedName>
    <definedName name="_xlnm._FilterDatabase" localSheetId="4" hidden="1">'Thùng otakami 700,80'!$A$8:$I$8</definedName>
    <definedName name="_xlnm._FilterDatabase" localSheetId="3" hidden="1">'THÙNG OTAKAMI180,80  '!$A$8:$I$87</definedName>
    <definedName name="_xlnm._FilterDatabase" localSheetId="2" hidden="1">'THÙNG OTAKAMI320,76'!$A$7:$I$56</definedName>
    <definedName name="_xlnm._FilterDatabase" localSheetId="1" hidden="1">'THÙNG OTAKMI320,80'!$A$7:$I$150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0" l="1"/>
  <c r="G21" i="114"/>
  <c r="G22" i="114" s="1"/>
  <c r="G23" i="114" s="1"/>
  <c r="G24" i="114" s="1"/>
  <c r="G25" i="114" s="1"/>
  <c r="G26" i="114" s="1"/>
  <c r="G27" i="114" s="1"/>
  <c r="G28" i="114" s="1"/>
  <c r="G29" i="114" s="1"/>
  <c r="G30" i="114" s="1"/>
  <c r="G31" i="114" s="1"/>
  <c r="G32" i="114" s="1"/>
  <c r="G33" i="114" s="1"/>
  <c r="G34" i="114" s="1"/>
  <c r="G35" i="114" s="1"/>
  <c r="G36" i="114" s="1"/>
  <c r="G37" i="114" s="1"/>
  <c r="G38" i="114" s="1"/>
  <c r="G39" i="114" s="1"/>
  <c r="G40" i="114" s="1"/>
  <c r="G41" i="114" s="1"/>
  <c r="G42" i="114" s="1"/>
  <c r="G43" i="114" s="1"/>
  <c r="G44" i="114" s="1"/>
  <c r="G45" i="114" s="1"/>
  <c r="G46" i="114" s="1"/>
  <c r="G47" i="114" s="1"/>
  <c r="G48" i="114" s="1"/>
  <c r="G49" i="114" s="1"/>
  <c r="G50" i="114" s="1"/>
  <c r="G51" i="114" s="1"/>
  <c r="G52" i="114" s="1"/>
  <c r="G53" i="114" s="1"/>
  <c r="G54" i="114" s="1"/>
  <c r="G55" i="114" s="1"/>
  <c r="G56" i="114" s="1"/>
  <c r="G57" i="114" s="1"/>
  <c r="G58" i="114" s="1"/>
  <c r="G59" i="114" s="1"/>
  <c r="G60" i="114" s="1"/>
  <c r="G61" i="114" s="1"/>
  <c r="G62" i="114" s="1"/>
  <c r="G63" i="114" s="1"/>
  <c r="G64" i="114" s="1"/>
  <c r="G65" i="114" s="1"/>
  <c r="G66" i="114" s="1"/>
  <c r="G67" i="114" s="1"/>
  <c r="G68" i="114" s="1"/>
  <c r="G69" i="114" s="1"/>
  <c r="G70" i="114" s="1"/>
  <c r="G71" i="114" s="1"/>
  <c r="G72" i="114" s="1"/>
  <c r="G73" i="114" s="1"/>
  <c r="G74" i="114" s="1"/>
  <c r="G75" i="114" s="1"/>
  <c r="G76" i="114" s="1"/>
  <c r="G77" i="114" s="1"/>
  <c r="G78" i="114" s="1"/>
  <c r="G79" i="114" s="1"/>
  <c r="G80" i="114" s="1"/>
  <c r="G81" i="114" s="1"/>
  <c r="G82" i="114" s="1"/>
  <c r="G83" i="114" s="1"/>
  <c r="G84" i="114" s="1"/>
  <c r="G85" i="114" s="1"/>
  <c r="G86" i="114" s="1"/>
  <c r="G87" i="114" s="1"/>
  <c r="G88" i="114" s="1"/>
  <c r="G89" i="114" s="1"/>
  <c r="G90" i="114" s="1"/>
  <c r="G91" i="114" s="1"/>
  <c r="G92" i="114" s="1"/>
  <c r="G93" i="114" s="1"/>
  <c r="G94" i="114" s="1"/>
  <c r="G95" i="114" s="1"/>
  <c r="G96" i="114" s="1"/>
  <c r="G97" i="114" s="1"/>
  <c r="G98" i="114" s="1"/>
  <c r="G99" i="114" s="1"/>
  <c r="G100" i="114" s="1"/>
  <c r="G101" i="114" s="1"/>
  <c r="G102" i="114" s="1"/>
  <c r="G103" i="114" s="1"/>
  <c r="G104" i="114" s="1"/>
  <c r="G105" i="114" s="1"/>
  <c r="G106" i="114" s="1"/>
  <c r="G107" i="114" s="1"/>
  <c r="G108" i="114" s="1"/>
  <c r="G109" i="114" s="1"/>
  <c r="G110" i="114" s="1"/>
  <c r="G111" i="114" s="1"/>
  <c r="G112" i="114" s="1"/>
  <c r="G113" i="114" s="1"/>
  <c r="G114" i="114" s="1"/>
  <c r="G115" i="114" s="1"/>
  <c r="G116" i="114" s="1"/>
  <c r="G117" i="114" s="1"/>
  <c r="G118" i="114" s="1"/>
  <c r="G119" i="114" s="1"/>
  <c r="G120" i="114" s="1"/>
  <c r="G121" i="114" s="1"/>
  <c r="G122" i="114" s="1"/>
  <c r="G123" i="114" s="1"/>
  <c r="G124" i="114" s="1"/>
  <c r="G125" i="114" s="1"/>
  <c r="G126" i="114" s="1"/>
  <c r="G127" i="114" s="1"/>
  <c r="G128" i="114" s="1"/>
  <c r="G129" i="114" s="1"/>
  <c r="G130" i="114" s="1"/>
  <c r="G131" i="114" s="1"/>
  <c r="G132" i="114" s="1"/>
  <c r="G133" i="114" s="1"/>
  <c r="G134" i="114" s="1"/>
  <c r="G135" i="114" s="1"/>
  <c r="G136" i="114" s="1"/>
  <c r="G137" i="114" s="1"/>
  <c r="G138" i="114" s="1"/>
  <c r="G139" i="114" s="1"/>
  <c r="G140" i="114" s="1"/>
  <c r="G141" i="114" s="1"/>
  <c r="G142" i="114" s="1"/>
  <c r="G143" i="114" s="1"/>
  <c r="G144" i="114" s="1"/>
  <c r="G145" i="114" s="1"/>
  <c r="G146" i="114" s="1"/>
  <c r="G147" i="114" s="1"/>
  <c r="G148" i="114" s="1"/>
  <c r="G149" i="114" s="1"/>
  <c r="G150" i="114" s="1"/>
  <c r="G151" i="114" s="1"/>
  <c r="G152" i="114" s="1"/>
  <c r="G153" i="114" s="1"/>
  <c r="G154" i="114" s="1"/>
  <c r="G155" i="114" s="1"/>
  <c r="G156" i="114" s="1"/>
  <c r="G157" i="114" s="1"/>
  <c r="G158" i="114" s="1"/>
  <c r="G159" i="114" s="1"/>
  <c r="G16" i="56"/>
  <c r="G17" i="56" s="1"/>
  <c r="G18" i="56" s="1"/>
  <c r="G19" i="56" s="1"/>
  <c r="G20" i="56" s="1"/>
  <c r="G21" i="56" s="1"/>
  <c r="G22" i="56" s="1"/>
  <c r="G23" i="56" s="1"/>
  <c r="G24" i="56" s="1"/>
  <c r="G25" i="56" s="1"/>
  <c r="G26" i="56" s="1"/>
  <c r="G27" i="56" s="1"/>
  <c r="G28" i="56" s="1"/>
  <c r="G29" i="56" s="1"/>
  <c r="G30" i="56" s="1"/>
  <c r="G31" i="56" s="1"/>
  <c r="G32" i="56" s="1"/>
  <c r="G33" i="56" s="1"/>
  <c r="G34" i="56" s="1"/>
  <c r="G35" i="56" s="1"/>
  <c r="G36" i="56" s="1"/>
  <c r="G37" i="56" s="1"/>
  <c r="G38" i="56" s="1"/>
  <c r="G39" i="56" s="1"/>
  <c r="G40" i="56" s="1"/>
  <c r="G41" i="56" s="1"/>
  <c r="G42" i="56" s="1"/>
  <c r="G43" i="56" s="1"/>
  <c r="G44" i="56" s="1"/>
  <c r="G45" i="56" s="1"/>
  <c r="G46" i="56" s="1"/>
  <c r="G47" i="56" s="1"/>
  <c r="G48" i="56" s="1"/>
  <c r="G49" i="56" s="1"/>
  <c r="G50" i="56" s="1"/>
  <c r="G51" i="56" s="1"/>
  <c r="G52" i="56" s="1"/>
  <c r="G53" i="56" s="1"/>
  <c r="G54" i="56" s="1"/>
  <c r="G55" i="56" s="1"/>
  <c r="G56" i="56" s="1"/>
  <c r="G57" i="56" s="1"/>
  <c r="G58" i="56" s="1"/>
  <c r="G59" i="56" s="1"/>
  <c r="G60" i="56" s="1"/>
  <c r="G61" i="56" s="1"/>
  <c r="G62" i="56" s="1"/>
  <c r="G63" i="56" s="1"/>
  <c r="G64" i="56" s="1"/>
  <c r="G65" i="56" s="1"/>
  <c r="G66" i="56" s="1"/>
  <c r="G67" i="56" s="1"/>
  <c r="G68" i="56" s="1"/>
  <c r="G69" i="56" s="1"/>
  <c r="G70" i="56" s="1"/>
  <c r="G71" i="56" s="1"/>
  <c r="G72" i="56" s="1"/>
  <c r="G73" i="56" s="1"/>
  <c r="G74" i="56" s="1"/>
  <c r="G75" i="56" s="1"/>
  <c r="G76" i="56" s="1"/>
  <c r="G77" i="56" s="1"/>
  <c r="G78" i="56" s="1"/>
  <c r="G79" i="56" s="1"/>
  <c r="G80" i="56" s="1"/>
  <c r="G81" i="56" s="1"/>
  <c r="G82" i="56" s="1"/>
  <c r="G83" i="56" s="1"/>
  <c r="G84" i="56" s="1"/>
  <c r="G85" i="56" s="1"/>
  <c r="G86" i="56" s="1"/>
  <c r="G87" i="56" s="1"/>
  <c r="G88" i="56" s="1"/>
  <c r="G89" i="56" s="1"/>
  <c r="G90" i="56" s="1"/>
  <c r="G91" i="56" s="1"/>
  <c r="G92" i="56" s="1"/>
  <c r="G93" i="56" s="1"/>
  <c r="G94" i="56" s="1"/>
  <c r="G95" i="56" s="1"/>
  <c r="G96" i="56" s="1"/>
  <c r="G97" i="56" s="1"/>
  <c r="G98" i="56" s="1"/>
  <c r="G99" i="56" s="1"/>
  <c r="G100" i="56" s="1"/>
  <c r="G101" i="56" s="1"/>
  <c r="G102" i="56" s="1"/>
  <c r="G103" i="56" s="1"/>
  <c r="G104" i="56" s="1"/>
  <c r="G105" i="56" s="1"/>
  <c r="G106" i="56" s="1"/>
  <c r="G107" i="56" s="1"/>
  <c r="G108" i="56" s="1"/>
  <c r="G109" i="56" s="1"/>
  <c r="G110" i="56" s="1"/>
  <c r="G111" i="56" s="1"/>
  <c r="G112" i="56" s="1"/>
  <c r="G113" i="56" s="1"/>
  <c r="G114" i="56" s="1"/>
  <c r="G115" i="56" s="1"/>
  <c r="G116" i="56" s="1"/>
  <c r="G117" i="56" s="1"/>
  <c r="G118" i="56" s="1"/>
  <c r="G119" i="56" s="1"/>
  <c r="G120" i="56" s="1"/>
  <c r="G121" i="56" s="1"/>
  <c r="G122" i="56" s="1"/>
  <c r="G123" i="56" s="1"/>
  <c r="G124" i="56" s="1"/>
  <c r="G125" i="56" s="1"/>
  <c r="G126" i="56" s="1"/>
  <c r="G127" i="56" s="1"/>
  <c r="G128" i="56" s="1"/>
  <c r="G129" i="56" s="1"/>
  <c r="G130" i="56" s="1"/>
  <c r="G131" i="56" s="1"/>
  <c r="G132" i="56" s="1"/>
  <c r="G133" i="56" s="1"/>
  <c r="G134" i="56" s="1"/>
  <c r="G135" i="56" s="1"/>
  <c r="G136" i="56" s="1"/>
  <c r="G137" i="56" s="1"/>
  <c r="G138" i="56" s="1"/>
  <c r="G139" i="56" s="1"/>
  <c r="G140" i="56" s="1"/>
  <c r="G141" i="56" s="1"/>
  <c r="G142" i="56" s="1"/>
  <c r="G143" i="56" s="1"/>
  <c r="G144" i="56" s="1"/>
  <c r="G145" i="56" s="1"/>
  <c r="G146" i="56" s="1"/>
  <c r="G147" i="56" s="1"/>
  <c r="G148" i="56" s="1"/>
  <c r="G149" i="56" s="1"/>
  <c r="G150" i="56" s="1"/>
  <c r="G119" i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A127" i="9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G127" i="9"/>
  <c r="G128" i="9" s="1"/>
  <c r="G129" i="9" s="1"/>
  <c r="G130" i="9" s="1"/>
  <c r="G131" i="9" s="1"/>
  <c r="G132" i="9" s="1"/>
  <c r="G133" i="9" s="1"/>
  <c r="G134" i="9" s="1"/>
  <c r="G135" i="9" s="1"/>
  <c r="G136" i="9" s="1"/>
  <c r="G137" i="9" s="1"/>
  <c r="G138" i="9" s="1"/>
  <c r="G139" i="9" s="1"/>
  <c r="G140" i="9" s="1"/>
  <c r="G141" i="9" s="1"/>
  <c r="G142" i="9" s="1"/>
  <c r="G143" i="9" s="1"/>
  <c r="G144" i="9" s="1"/>
  <c r="G145" i="9" s="1"/>
  <c r="F111" i="1"/>
  <c r="F125" i="130"/>
  <c r="A126" i="130"/>
  <c r="A127" i="130" s="1"/>
  <c r="A128" i="130" s="1"/>
  <c r="A129" i="130" s="1"/>
  <c r="A130" i="130" s="1"/>
  <c r="A131" i="130" s="1"/>
  <c r="A132" i="130" s="1"/>
  <c r="A133" i="130" s="1"/>
  <c r="A134" i="130" s="1"/>
  <c r="A135" i="130" s="1"/>
  <c r="A136" i="130" s="1"/>
  <c r="A137" i="130" s="1"/>
  <c r="A138" i="130" s="1"/>
  <c r="A139" i="130" s="1"/>
  <c r="A140" i="130" s="1"/>
  <c r="A141" i="130" s="1"/>
  <c r="A142" i="130" s="1"/>
  <c r="A143" i="130" s="1"/>
  <c r="A144" i="130" s="1"/>
  <c r="A145" i="130" s="1"/>
  <c r="A146" i="130" s="1"/>
  <c r="A147" i="130" s="1"/>
  <c r="A148" i="130" s="1"/>
  <c r="G29" i="133"/>
  <c r="G30" i="133"/>
  <c r="G31" i="133" s="1"/>
  <c r="G32" i="133" s="1"/>
  <c r="G33" i="133" s="1"/>
  <c r="G34" i="133" s="1"/>
  <c r="G35" i="133" s="1"/>
  <c r="G36" i="133" s="1"/>
  <c r="G37" i="133" s="1"/>
  <c r="G38" i="133" s="1"/>
  <c r="G39" i="133" s="1"/>
  <c r="G40" i="133" s="1"/>
  <c r="G41" i="133" s="1"/>
  <c r="G42" i="133" s="1"/>
  <c r="G43" i="133" s="1"/>
  <c r="G44" i="133" s="1"/>
  <c r="G45" i="133" s="1"/>
  <c r="G46" i="133" s="1"/>
  <c r="G47" i="133" s="1"/>
  <c r="G48" i="133" s="1"/>
  <c r="G49" i="133" s="1"/>
  <c r="G50" i="133" s="1"/>
  <c r="G51" i="133" s="1"/>
  <c r="G52" i="133" s="1"/>
  <c r="G53" i="133" s="1"/>
  <c r="G54" i="133" s="1"/>
  <c r="G55" i="133" s="1"/>
  <c r="G56" i="133" s="1"/>
  <c r="G57" i="133" s="1"/>
  <c r="G58" i="133" s="1"/>
  <c r="G59" i="133" s="1"/>
  <c r="G60" i="133" s="1"/>
  <c r="G61" i="133" s="1"/>
  <c r="G62" i="133" s="1"/>
  <c r="G63" i="133" s="1"/>
  <c r="G64" i="133" s="1"/>
  <c r="G65" i="133" s="1"/>
  <c r="G66" i="133" s="1"/>
  <c r="G67" i="133" s="1"/>
  <c r="G68" i="133" s="1"/>
  <c r="G69" i="133" s="1"/>
  <c r="G70" i="133" s="1"/>
  <c r="G71" i="133" s="1"/>
  <c r="G72" i="133" s="1"/>
  <c r="G73" i="133" s="1"/>
  <c r="G74" i="133" s="1"/>
  <c r="G75" i="133" s="1"/>
  <c r="G76" i="133" s="1"/>
  <c r="G77" i="133" s="1"/>
  <c r="G78" i="133" s="1"/>
  <c r="G79" i="133" s="1"/>
  <c r="G80" i="133" s="1"/>
  <c r="G81" i="133" s="1"/>
  <c r="G82" i="133" s="1"/>
  <c r="G83" i="133" s="1"/>
  <c r="G84" i="133" s="1"/>
  <c r="G85" i="133" s="1"/>
  <c r="G86" i="133" s="1"/>
  <c r="G87" i="133" s="1"/>
  <c r="G88" i="133" s="1"/>
  <c r="G89" i="133" s="1"/>
  <c r="G90" i="133" s="1"/>
  <c r="G91" i="133" s="1"/>
  <c r="G92" i="133" s="1"/>
  <c r="G93" i="133" s="1"/>
  <c r="G94" i="133" s="1"/>
  <c r="G95" i="133" s="1"/>
  <c r="G96" i="133" s="1"/>
  <c r="G97" i="133" s="1"/>
  <c r="G98" i="133" s="1"/>
  <c r="G99" i="133" s="1"/>
  <c r="G100" i="133" s="1"/>
  <c r="G101" i="133" s="1"/>
  <c r="G102" i="133" s="1"/>
  <c r="G103" i="133" s="1"/>
  <c r="G104" i="133" s="1"/>
  <c r="G105" i="133" s="1"/>
  <c r="G106" i="133" s="1"/>
  <c r="G107" i="133" s="1"/>
  <c r="G108" i="133" s="1"/>
  <c r="G109" i="133" s="1"/>
  <c r="G110" i="133" s="1"/>
  <c r="G111" i="133" s="1"/>
  <c r="G112" i="133" s="1"/>
  <c r="G113" i="133" s="1"/>
  <c r="G114" i="133" s="1"/>
  <c r="G115" i="133" s="1"/>
  <c r="G116" i="133" s="1"/>
  <c r="G117" i="133" s="1"/>
  <c r="G118" i="133" s="1"/>
  <c r="G119" i="133" s="1"/>
  <c r="G120" i="133" s="1"/>
  <c r="G121" i="133" s="1"/>
  <c r="G122" i="133" s="1"/>
  <c r="G123" i="133" s="1"/>
  <c r="G124" i="133" s="1"/>
  <c r="G125" i="133" s="1"/>
  <c r="G126" i="133" s="1"/>
  <c r="G127" i="133" s="1"/>
  <c r="G128" i="133" s="1"/>
  <c r="G129" i="133" s="1"/>
  <c r="G130" i="133" s="1"/>
  <c r="G131" i="133" s="1"/>
  <c r="G132" i="133" s="1"/>
  <c r="G133" i="133" s="1"/>
  <c r="G134" i="133" s="1"/>
  <c r="G135" i="133" s="1"/>
  <c r="G136" i="133" s="1"/>
  <c r="G137" i="133" s="1"/>
  <c r="G138" i="133" s="1"/>
  <c r="G139" i="133" s="1"/>
  <c r="G140" i="133" s="1"/>
  <c r="G141" i="133" s="1"/>
  <c r="G142" i="133" s="1"/>
  <c r="G143" i="133" s="1"/>
  <c r="G144" i="133" s="1"/>
  <c r="G145" i="133" s="1"/>
  <c r="G146" i="133" s="1"/>
  <c r="G147" i="133" s="1"/>
  <c r="G148" i="133" s="1"/>
  <c r="G149" i="133" s="1"/>
  <c r="G150" i="133" s="1"/>
  <c r="G151" i="133" s="1"/>
  <c r="G152" i="133" s="1"/>
  <c r="G153" i="133" s="1"/>
  <c r="G154" i="133" s="1"/>
  <c r="M41" i="133"/>
  <c r="P38" i="133"/>
  <c r="F35" i="133"/>
  <c r="F107" i="1"/>
  <c r="F106" i="1"/>
  <c r="L146" i="1" l="1"/>
  <c r="L118" i="1"/>
  <c r="F105" i="1"/>
  <c r="F104" i="1" l="1"/>
  <c r="O118" i="130"/>
  <c r="F103" i="1"/>
  <c r="F101" i="1"/>
  <c r="K116" i="1"/>
  <c r="E29" i="133"/>
  <c r="F99" i="1"/>
  <c r="F100" i="1"/>
  <c r="L157" i="1"/>
  <c r="L156" i="1"/>
  <c r="F97" i="1"/>
  <c r="F96" i="1"/>
  <c r="F88" i="1"/>
  <c r="F92" i="1"/>
  <c r="F93" i="1"/>
  <c r="F91" i="1"/>
  <c r="L91" i="1"/>
  <c r="F89" i="1"/>
  <c r="F90" i="1"/>
  <c r="I169" i="130"/>
  <c r="L95" i="1"/>
  <c r="L23" i="125"/>
  <c r="N145" i="130"/>
  <c r="N146" i="130" s="1"/>
  <c r="P144" i="130"/>
  <c r="P98" i="130"/>
  <c r="P143" i="130" s="1"/>
  <c r="F85" i="1"/>
  <c r="F90" i="130"/>
  <c r="L148" i="9"/>
  <c r="L149" i="9" s="1"/>
  <c r="F84" i="1"/>
  <c r="F80" i="1"/>
  <c r="F81" i="1"/>
  <c r="F82" i="1"/>
  <c r="F83" i="1"/>
  <c r="K92" i="130"/>
  <c r="L90" i="9"/>
  <c r="L97" i="9"/>
  <c r="L98" i="9" s="1"/>
  <c r="L145" i="130"/>
  <c r="L146" i="130" s="1"/>
  <c r="M71" i="1"/>
  <c r="F74" i="1"/>
  <c r="F76" i="1"/>
  <c r="F75" i="1"/>
  <c r="O29" i="132"/>
  <c r="O28" i="132"/>
  <c r="L23" i="132"/>
  <c r="L22" i="132"/>
  <c r="N99" i="9" l="1"/>
  <c r="N124" i="9" s="1"/>
  <c r="F71" i="1"/>
  <c r="F69" i="1"/>
  <c r="N34" i="127"/>
  <c r="O33" i="127"/>
  <c r="N32" i="127"/>
  <c r="O157" i="9"/>
  <c r="L142" i="9"/>
  <c r="F67" i="1"/>
  <c r="F65" i="1" l="1"/>
  <c r="F64" i="1"/>
  <c r="M64" i="1"/>
  <c r="F76" i="9"/>
  <c r="K68" i="1"/>
  <c r="N116" i="1"/>
  <c r="N117" i="1" s="1"/>
  <c r="N118" i="1" s="1"/>
  <c r="O116" i="1"/>
  <c r="O102" i="1"/>
  <c r="F155" i="133"/>
  <c r="E155" i="133"/>
  <c r="G9" i="133"/>
  <c r="G10" i="133" s="1"/>
  <c r="G11" i="133" s="1"/>
  <c r="G12" i="133" s="1"/>
  <c r="G13" i="133" s="1"/>
  <c r="G14" i="133" s="1"/>
  <c r="G15" i="133" s="1"/>
  <c r="G16" i="133" s="1"/>
  <c r="G17" i="133" s="1"/>
  <c r="G18" i="133" s="1"/>
  <c r="G19" i="133" s="1"/>
  <c r="G20" i="133" s="1"/>
  <c r="G21" i="133" s="1"/>
  <c r="G22" i="133" s="1"/>
  <c r="G23" i="133" s="1"/>
  <c r="G24" i="133" s="1"/>
  <c r="G25" i="133" s="1"/>
  <c r="G26" i="133" s="1"/>
  <c r="G27" i="133" s="1"/>
  <c r="G28" i="133" s="1"/>
  <c r="A4" i="133"/>
  <c r="F63" i="1"/>
  <c r="F74" i="9"/>
  <c r="P65" i="1"/>
  <c r="Q65" i="1" s="1"/>
  <c r="Q148" i="1" s="1"/>
  <c r="Q149" i="1" s="1"/>
  <c r="F62" i="1"/>
  <c r="G155" i="133" l="1"/>
  <c r="M28" i="1"/>
  <c r="O57" i="1"/>
  <c r="M57" i="1"/>
  <c r="M56" i="1"/>
  <c r="K48" i="1"/>
  <c r="L48" i="1" s="1"/>
  <c r="K33" i="97" l="1"/>
  <c r="K32" i="97"/>
  <c r="F20" i="124"/>
  <c r="F14" i="126"/>
  <c r="E19" i="124"/>
  <c r="E18" i="124"/>
  <c r="K29" i="124"/>
  <c r="L28" i="124"/>
  <c r="L27" i="124"/>
  <c r="E18" i="127"/>
  <c r="L51" i="1"/>
  <c r="K62" i="9"/>
  <c r="N60" i="9"/>
  <c r="O62" i="9"/>
  <c r="P62" i="9" s="1"/>
  <c r="L60" i="130"/>
  <c r="Q26" i="2"/>
  <c r="N22" i="2"/>
  <c r="K22" i="2" l="1"/>
  <c r="K21" i="2"/>
  <c r="M55" i="8"/>
  <c r="M54" i="8"/>
  <c r="F22" i="9"/>
  <c r="G12" i="10" l="1"/>
  <c r="G13" i="10"/>
  <c r="G14" i="10"/>
  <c r="G15" i="10"/>
  <c r="G16" i="10" s="1"/>
  <c r="G17" i="10" s="1"/>
  <c r="G18" i="10" s="1"/>
  <c r="G19" i="10" s="1"/>
  <c r="G20" i="10" s="1"/>
  <c r="J54" i="130"/>
  <c r="J28" i="130"/>
  <c r="K20" i="124" l="1"/>
  <c r="K21" i="124" s="1"/>
  <c r="K22" i="124" s="1"/>
  <c r="N21" i="124"/>
  <c r="N20" i="124"/>
  <c r="N16" i="124"/>
  <c r="M14" i="124"/>
  <c r="L14" i="124"/>
  <c r="D27" i="33"/>
  <c r="G27" i="33" s="1"/>
  <c r="E27" i="33"/>
  <c r="F27" i="33"/>
  <c r="L20" i="126"/>
  <c r="L22" i="124"/>
  <c r="L21" i="124"/>
  <c r="O49" i="1"/>
  <c r="N47" i="1"/>
  <c r="F45" i="1"/>
  <c r="A26" i="127"/>
  <c r="A27" i="127" s="1"/>
  <c r="A28" i="127" s="1"/>
  <c r="A29" i="127" s="1"/>
  <c r="A30" i="127" s="1"/>
  <c r="A31" i="127" s="1"/>
  <c r="A32" i="127" s="1"/>
  <c r="A33" i="127" s="1"/>
  <c r="A34" i="127" s="1"/>
  <c r="A35" i="127" s="1"/>
  <c r="A36" i="127" s="1"/>
  <c r="A37" i="127" s="1"/>
  <c r="A38" i="127" s="1"/>
  <c r="A39" i="127" s="1"/>
  <c r="A40" i="127" s="1"/>
  <c r="A41" i="127" s="1"/>
  <c r="A42" i="127" s="1"/>
  <c r="A43" i="127" s="1"/>
  <c r="A44" i="127" s="1"/>
  <c r="A45" i="127" s="1"/>
  <c r="A46" i="127" s="1"/>
  <c r="A47" i="127" s="1"/>
  <c r="F39" i="1"/>
  <c r="M61" i="132" l="1"/>
  <c r="F61" i="132"/>
  <c r="E61" i="132"/>
  <c r="P35" i="132"/>
  <c r="L33" i="132"/>
  <c r="L32" i="132"/>
  <c r="A10" i="132"/>
  <c r="A11" i="132" s="1"/>
  <c r="A12" i="132" s="1"/>
  <c r="A13" i="132" s="1"/>
  <c r="A14" i="132" s="1"/>
  <c r="A15" i="132" s="1"/>
  <c r="A16" i="132" s="1"/>
  <c r="A17" i="132" s="1"/>
  <c r="A18" i="132" s="1"/>
  <c r="A19" i="132" s="1"/>
  <c r="A20" i="132" s="1"/>
  <c r="A21" i="132" s="1"/>
  <c r="A22" i="132" s="1"/>
  <c r="A23" i="132" s="1"/>
  <c r="A24" i="132" s="1"/>
  <c r="A25" i="132" s="1"/>
  <c r="A26" i="132" s="1"/>
  <c r="A27" i="132" s="1"/>
  <c r="A28" i="132" s="1"/>
  <c r="A30" i="132" s="1"/>
  <c r="A31" i="132" s="1"/>
  <c r="A32" i="132" s="1"/>
  <c r="A33" i="132" s="1"/>
  <c r="A34" i="132" s="1"/>
  <c r="A35" i="132" s="1"/>
  <c r="A36" i="132" s="1"/>
  <c r="A37" i="132" s="1"/>
  <c r="A38" i="132" s="1"/>
  <c r="A39" i="132" s="1"/>
  <c r="A40" i="132" s="1"/>
  <c r="A41" i="132" s="1"/>
  <c r="A42" i="132" s="1"/>
  <c r="A43" i="132" s="1"/>
  <c r="A44" i="132" s="1"/>
  <c r="A45" i="132" s="1"/>
  <c r="A46" i="132" s="1"/>
  <c r="A47" i="132" s="1"/>
  <c r="A48" i="132" s="1"/>
  <c r="A49" i="132" s="1"/>
  <c r="A50" i="132" s="1"/>
  <c r="A51" i="132" s="1"/>
  <c r="A52" i="132" s="1"/>
  <c r="A53" i="132" s="1"/>
  <c r="A54" i="132" s="1"/>
  <c r="A55" i="132" s="1"/>
  <c r="A56" i="132" s="1"/>
  <c r="A57" i="132" s="1"/>
  <c r="A58" i="132" s="1"/>
  <c r="A59" i="132" s="1"/>
  <c r="A60" i="132" s="1"/>
  <c r="G9" i="132"/>
  <c r="G10" i="132" s="1"/>
  <c r="G11" i="132" s="1"/>
  <c r="G12" i="132" s="1"/>
  <c r="G13" i="132" s="1"/>
  <c r="G14" i="132" s="1"/>
  <c r="G15" i="132" s="1"/>
  <c r="G16" i="132" s="1"/>
  <c r="G17" i="132" s="1"/>
  <c r="G18" i="132" s="1"/>
  <c r="G19" i="132" s="1"/>
  <c r="G20" i="132" s="1"/>
  <c r="G21" i="132" s="1"/>
  <c r="G22" i="132" s="1"/>
  <c r="G23" i="132" s="1"/>
  <c r="G24" i="132" s="1"/>
  <c r="G25" i="132" s="1"/>
  <c r="G26" i="132" s="1"/>
  <c r="G27" i="132" s="1"/>
  <c r="G28" i="132" s="1"/>
  <c r="G29" i="132" s="1"/>
  <c r="G30" i="132" s="1"/>
  <c r="G31" i="132" s="1"/>
  <c r="G32" i="132" s="1"/>
  <c r="G33" i="132" s="1"/>
  <c r="G34" i="132" s="1"/>
  <c r="G35" i="132" s="1"/>
  <c r="G36" i="132" s="1"/>
  <c r="G37" i="132" s="1"/>
  <c r="G38" i="132" s="1"/>
  <c r="G39" i="132" s="1"/>
  <c r="G40" i="132" s="1"/>
  <c r="G41" i="132" s="1"/>
  <c r="G42" i="132" s="1"/>
  <c r="G43" i="132" s="1"/>
  <c r="G44" i="132" s="1"/>
  <c r="G45" i="132" s="1"/>
  <c r="G46" i="132" s="1"/>
  <c r="G47" i="132" s="1"/>
  <c r="G48" i="132" s="1"/>
  <c r="G49" i="132" s="1"/>
  <c r="G50" i="132" s="1"/>
  <c r="G51" i="132" s="1"/>
  <c r="G52" i="132" s="1"/>
  <c r="G53" i="132" s="1"/>
  <c r="G54" i="132" s="1"/>
  <c r="G55" i="132" s="1"/>
  <c r="G56" i="132" s="1"/>
  <c r="G57" i="132" s="1"/>
  <c r="G58" i="132" s="1"/>
  <c r="G59" i="132" s="1"/>
  <c r="G60" i="132" s="1"/>
  <c r="A4" i="132"/>
  <c r="G61" i="132" l="1"/>
  <c r="N46" i="8"/>
  <c r="N45" i="8"/>
  <c r="N44" i="8"/>
  <c r="N43" i="8"/>
  <c r="N42" i="8"/>
  <c r="N41" i="8"/>
  <c r="L41" i="8"/>
  <c r="L40" i="8"/>
  <c r="L39" i="8"/>
  <c r="L38" i="8"/>
  <c r="L19" i="124"/>
  <c r="F20" i="97"/>
  <c r="F15" i="10"/>
  <c r="O36" i="8" l="1"/>
  <c r="O35" i="8"/>
  <c r="O34" i="8"/>
  <c r="L25" i="130"/>
  <c r="M27" i="130"/>
  <c r="F16" i="1" l="1"/>
  <c r="F16" i="97"/>
  <c r="F13" i="114"/>
  <c r="O27" i="114" l="1"/>
  <c r="O28" i="114" s="1"/>
  <c r="O23" i="114"/>
  <c r="O24" i="114" s="1"/>
  <c r="O26" i="114" s="1"/>
  <c r="G13" i="7"/>
  <c r="M23" i="7"/>
  <c r="F91" i="2"/>
  <c r="F23" i="33" l="1"/>
  <c r="E23" i="33"/>
  <c r="D23" i="33"/>
  <c r="G23" i="33" s="1"/>
  <c r="E13" i="125"/>
  <c r="E47" i="131"/>
  <c r="A13" i="131"/>
  <c r="A14" i="131" s="1"/>
  <c r="A15" i="131" s="1"/>
  <c r="A16" i="131" s="1"/>
  <c r="A17" i="131" s="1"/>
  <c r="A18" i="131" s="1"/>
  <c r="A19" i="131" s="1"/>
  <c r="A20" i="131" s="1"/>
  <c r="A21" i="131" s="1"/>
  <c r="A22" i="131" s="1"/>
  <c r="A23" i="131" s="1"/>
  <c r="A24" i="131" s="1"/>
  <c r="A25" i="131" s="1"/>
  <c r="A26" i="131" s="1"/>
  <c r="A27" i="131" s="1"/>
  <c r="A28" i="131" s="1"/>
  <c r="A29" i="131" s="1"/>
  <c r="A30" i="131" s="1"/>
  <c r="A31" i="131" s="1"/>
  <c r="A32" i="131" s="1"/>
  <c r="A33" i="131" s="1"/>
  <c r="A34" i="131" s="1"/>
  <c r="A35" i="131" s="1"/>
  <c r="A36" i="131" s="1"/>
  <c r="A42" i="131" s="1"/>
  <c r="A43" i="131" s="1"/>
  <c r="A44" i="131" s="1"/>
  <c r="A45" i="131" s="1"/>
  <c r="A46" i="131" s="1"/>
  <c r="A12" i="131"/>
  <c r="F47" i="131"/>
  <c r="A11" i="131"/>
  <c r="G10" i="131"/>
  <c r="E24" i="130"/>
  <c r="P35" i="9"/>
  <c r="L32" i="9"/>
  <c r="L33" i="9" s="1"/>
  <c r="F22" i="130"/>
  <c r="F21" i="1"/>
  <c r="G47" i="131" l="1"/>
  <c r="G11" i="131"/>
  <c r="G12" i="131" s="1"/>
  <c r="G13" i="131" s="1"/>
  <c r="G14" i="131" s="1"/>
  <c r="G15" i="131" s="1"/>
  <c r="G16" i="131" s="1"/>
  <c r="G17" i="131" s="1"/>
  <c r="G18" i="131" s="1"/>
  <c r="G19" i="131" s="1"/>
  <c r="G20" i="131" s="1"/>
  <c r="G21" i="131" s="1"/>
  <c r="G22" i="131" s="1"/>
  <c r="G23" i="131" s="1"/>
  <c r="G24" i="131" s="1"/>
  <c r="G25" i="131" s="1"/>
  <c r="G26" i="131" s="1"/>
  <c r="G27" i="131" s="1"/>
  <c r="G28" i="131" s="1"/>
  <c r="G29" i="131" s="1"/>
  <c r="G30" i="131" s="1"/>
  <c r="G31" i="131" s="1"/>
  <c r="G32" i="131" s="1"/>
  <c r="G33" i="131" s="1"/>
  <c r="G34" i="131" s="1"/>
  <c r="G35" i="131" s="1"/>
  <c r="G36" i="131" s="1"/>
  <c r="G37" i="131" s="1"/>
  <c r="G38" i="131" s="1"/>
  <c r="G39" i="131" s="1"/>
  <c r="G40" i="131" s="1"/>
  <c r="G41" i="131" s="1"/>
  <c r="G42" i="131" s="1"/>
  <c r="G43" i="131" s="1"/>
  <c r="G44" i="131" s="1"/>
  <c r="G45" i="131" s="1"/>
  <c r="G46" i="131" s="1"/>
  <c r="E11" i="125"/>
  <c r="E149" i="130"/>
  <c r="E16" i="33" s="1"/>
  <c r="K32" i="7"/>
  <c r="F149" i="130"/>
  <c r="F16" i="33" s="1"/>
  <c r="J27" i="7"/>
  <c r="J25" i="8"/>
  <c r="G21" i="8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D16" i="33"/>
  <c r="L24" i="8"/>
  <c r="F22" i="8"/>
  <c r="F19" i="97"/>
  <c r="F25" i="7"/>
  <c r="A11" i="130"/>
  <c r="A12" i="130" s="1"/>
  <c r="A13" i="130" s="1"/>
  <c r="A14" i="130" s="1"/>
  <c r="A15" i="130" s="1"/>
  <c r="A16" i="130" s="1"/>
  <c r="A17" i="130" s="1"/>
  <c r="A18" i="130" s="1"/>
  <c r="A19" i="130" s="1"/>
  <c r="A20" i="130" s="1"/>
  <c r="A21" i="130" s="1"/>
  <c r="A22" i="130" s="1"/>
  <c r="A23" i="130" s="1"/>
  <c r="A24" i="130" s="1"/>
  <c r="A25" i="130" s="1"/>
  <c r="A26" i="130" s="1"/>
  <c r="A27" i="130" s="1"/>
  <c r="A28" i="130" s="1"/>
  <c r="A29" i="130" s="1"/>
  <c r="A30" i="130" s="1"/>
  <c r="A31" i="130" s="1"/>
  <c r="A32" i="130" s="1"/>
  <c r="A33" i="130" s="1"/>
  <c r="A34" i="130" s="1"/>
  <c r="A35" i="130" s="1"/>
  <c r="A36" i="130" s="1"/>
  <c r="A37" i="130" s="1"/>
  <c r="A38" i="130" s="1"/>
  <c r="A39" i="130" s="1"/>
  <c r="A40" i="130" s="1"/>
  <c r="A41" i="130" s="1"/>
  <c r="A42" i="130" s="1"/>
  <c r="A43" i="130" s="1"/>
  <c r="A44" i="130" s="1"/>
  <c r="A45" i="130" s="1"/>
  <c r="A46" i="130" s="1"/>
  <c r="A47" i="130" s="1"/>
  <c r="A48" i="130" s="1"/>
  <c r="A49" i="130" s="1"/>
  <c r="A50" i="130" s="1"/>
  <c r="A51" i="130" s="1"/>
  <c r="A52" i="130" s="1"/>
  <c r="A53" i="130" s="1"/>
  <c r="A54" i="130" s="1"/>
  <c r="A55" i="130" s="1"/>
  <c r="A56" i="130" s="1"/>
  <c r="A57" i="130" s="1"/>
  <c r="A58" i="130" s="1"/>
  <c r="A59" i="130" s="1"/>
  <c r="A60" i="130" s="1"/>
  <c r="A61" i="130" s="1"/>
  <c r="A62" i="130" s="1"/>
  <c r="A63" i="130" s="1"/>
  <c r="A64" i="130" s="1"/>
  <c r="A65" i="130" s="1"/>
  <c r="A66" i="130" s="1"/>
  <c r="A67" i="130" s="1"/>
  <c r="A68" i="130" s="1"/>
  <c r="A69" i="130" s="1"/>
  <c r="A70" i="130" s="1"/>
  <c r="A71" i="130" s="1"/>
  <c r="A72" i="130" s="1"/>
  <c r="A73" i="130" s="1"/>
  <c r="A74" i="130" s="1"/>
  <c r="A75" i="130" s="1"/>
  <c r="A76" i="130" s="1"/>
  <c r="A77" i="130" s="1"/>
  <c r="A78" i="130" s="1"/>
  <c r="A79" i="130" s="1"/>
  <c r="A80" i="130" s="1"/>
  <c r="A81" i="130" s="1"/>
  <c r="A82" i="130" s="1"/>
  <c r="A83" i="130" s="1"/>
  <c r="A84" i="130" s="1"/>
  <c r="G10" i="130"/>
  <c r="G11" i="130" s="1"/>
  <c r="L19" i="128"/>
  <c r="O20" i="126"/>
  <c r="A85" i="130" l="1"/>
  <c r="A86" i="130" s="1"/>
  <c r="A87" i="130" s="1"/>
  <c r="A88" i="130" s="1"/>
  <c r="A89" i="130" s="1"/>
  <c r="A90" i="130" s="1"/>
  <c r="A91" i="130" s="1"/>
  <c r="A92" i="130" s="1"/>
  <c r="A93" i="130" s="1"/>
  <c r="A94" i="130" s="1"/>
  <c r="A95" i="130" s="1"/>
  <c r="A96" i="130" s="1"/>
  <c r="A97" i="130" s="1"/>
  <c r="A98" i="130" s="1"/>
  <c r="A99" i="130" s="1"/>
  <c r="A100" i="130" s="1"/>
  <c r="A101" i="130" s="1"/>
  <c r="A102" i="130" s="1"/>
  <c r="A103" i="130" s="1"/>
  <c r="A104" i="130" s="1"/>
  <c r="A105" i="130" s="1"/>
  <c r="A106" i="130" s="1"/>
  <c r="A107" i="130" s="1"/>
  <c r="A108" i="130" s="1"/>
  <c r="A109" i="130" s="1"/>
  <c r="A110" i="130" s="1"/>
  <c r="A111" i="130" s="1"/>
  <c r="A112" i="130" s="1"/>
  <c r="A113" i="130" s="1"/>
  <c r="A114" i="130" s="1"/>
  <c r="A115" i="130" s="1"/>
  <c r="A116" i="130" s="1"/>
  <c r="A117" i="130" s="1"/>
  <c r="A118" i="130" s="1"/>
  <c r="A119" i="130" s="1"/>
  <c r="A120" i="130" s="1"/>
  <c r="A121" i="130" s="1"/>
  <c r="A122" i="130" s="1"/>
  <c r="A123" i="130" s="1"/>
  <c r="A124" i="130" s="1"/>
  <c r="A125" i="130" s="1"/>
  <c r="G16" i="33"/>
  <c r="G12" i="130"/>
  <c r="G13" i="130" s="1"/>
  <c r="G14" i="130" s="1"/>
  <c r="G15" i="130" s="1"/>
  <c r="G16" i="130" s="1"/>
  <c r="G17" i="130" s="1"/>
  <c r="G18" i="130" s="1"/>
  <c r="G19" i="130" s="1"/>
  <c r="G20" i="130" s="1"/>
  <c r="G21" i="130" s="1"/>
  <c r="G22" i="130" s="1"/>
  <c r="G23" i="130" s="1"/>
  <c r="G24" i="130" s="1"/>
  <c r="G25" i="130" s="1"/>
  <c r="G26" i="130" s="1"/>
  <c r="G27" i="130" s="1"/>
  <c r="G28" i="130" s="1"/>
  <c r="G29" i="130" s="1"/>
  <c r="G30" i="130" s="1"/>
  <c r="G31" i="130" s="1"/>
  <c r="G32" i="130" s="1"/>
  <c r="G33" i="130" s="1"/>
  <c r="G34" i="130" s="1"/>
  <c r="G35" i="130" s="1"/>
  <c r="G36" i="130" s="1"/>
  <c r="G37" i="130" s="1"/>
  <c r="G38" i="130" s="1"/>
  <c r="G39" i="130" s="1"/>
  <c r="G40" i="130" s="1"/>
  <c r="G41" i="130" s="1"/>
  <c r="G42" i="130" s="1"/>
  <c r="G43" i="130" s="1"/>
  <c r="G44" i="130" s="1"/>
  <c r="G45" i="130" s="1"/>
  <c r="G46" i="130" s="1"/>
  <c r="G47" i="130" s="1"/>
  <c r="G48" i="130" s="1"/>
  <c r="G49" i="130" s="1"/>
  <c r="G50" i="130" s="1"/>
  <c r="G51" i="130" s="1"/>
  <c r="G52" i="130" s="1"/>
  <c r="G53" i="130" s="1"/>
  <c r="G54" i="130" s="1"/>
  <c r="G55" i="130" s="1"/>
  <c r="G56" i="130" s="1"/>
  <c r="G57" i="130" s="1"/>
  <c r="G58" i="130" s="1"/>
  <c r="G59" i="130" s="1"/>
  <c r="G60" i="130" s="1"/>
  <c r="G61" i="130" s="1"/>
  <c r="G62" i="130" s="1"/>
  <c r="G63" i="130" s="1"/>
  <c r="G64" i="130" s="1"/>
  <c r="G65" i="130" s="1"/>
  <c r="G66" i="130" s="1"/>
  <c r="G67" i="130" s="1"/>
  <c r="G68" i="130" s="1"/>
  <c r="G69" i="130" s="1"/>
  <c r="G70" i="130" s="1"/>
  <c r="G71" i="130" s="1"/>
  <c r="G72" i="130" s="1"/>
  <c r="G73" i="130" s="1"/>
  <c r="G74" i="130" s="1"/>
  <c r="G75" i="130" s="1"/>
  <c r="G76" i="130" s="1"/>
  <c r="G77" i="130" s="1"/>
  <c r="G78" i="130" s="1"/>
  <c r="G79" i="130" s="1"/>
  <c r="G80" i="130" s="1"/>
  <c r="G81" i="130" s="1"/>
  <c r="G82" i="130" s="1"/>
  <c r="G83" i="130" s="1"/>
  <c r="G84" i="130" s="1"/>
  <c r="G85" i="130" s="1"/>
  <c r="G86" i="130" s="1"/>
  <c r="G87" i="130" s="1"/>
  <c r="G88" i="130" s="1"/>
  <c r="G89" i="130" s="1"/>
  <c r="G90" i="130" s="1"/>
  <c r="G91" i="130" s="1"/>
  <c r="G92" i="130" s="1"/>
  <c r="G93" i="130" s="1"/>
  <c r="G94" i="130" s="1"/>
  <c r="G95" i="130" s="1"/>
  <c r="G96" i="130" s="1"/>
  <c r="G97" i="130" s="1"/>
  <c r="G98" i="130" s="1"/>
  <c r="G99" i="130" s="1"/>
  <c r="G100" i="130" s="1"/>
  <c r="G101" i="130" s="1"/>
  <c r="G102" i="130" s="1"/>
  <c r="G103" i="130" s="1"/>
  <c r="G104" i="130" s="1"/>
  <c r="G105" i="130" s="1"/>
  <c r="G106" i="130" s="1"/>
  <c r="G107" i="130" s="1"/>
  <c r="G108" i="130" s="1"/>
  <c r="G109" i="130" s="1"/>
  <c r="G110" i="130" s="1"/>
  <c r="G111" i="130" s="1"/>
  <c r="G112" i="130" s="1"/>
  <c r="G113" i="130" s="1"/>
  <c r="G114" i="130" s="1"/>
  <c r="G115" i="130" s="1"/>
  <c r="G116" i="130" s="1"/>
  <c r="G117" i="130" s="1"/>
  <c r="G118" i="130" s="1"/>
  <c r="G119" i="130" s="1"/>
  <c r="G120" i="130" s="1"/>
  <c r="G121" i="130" s="1"/>
  <c r="G122" i="130" s="1"/>
  <c r="G123" i="130" s="1"/>
  <c r="G124" i="130" s="1"/>
  <c r="G125" i="130" s="1"/>
  <c r="G149" i="130"/>
  <c r="O25" i="7"/>
  <c r="O26" i="7" s="1"/>
  <c r="O27" i="7" s="1"/>
  <c r="O24" i="7"/>
  <c r="G126" i="130" l="1"/>
  <c r="G127" i="130" s="1"/>
  <c r="G128" i="130" s="1"/>
  <c r="G129" i="130" s="1"/>
  <c r="G130" i="130" s="1"/>
  <c r="G131" i="130" s="1"/>
  <c r="G132" i="130" s="1"/>
  <c r="G133" i="130" s="1"/>
  <c r="G134" i="130" s="1"/>
  <c r="G135" i="130" s="1"/>
  <c r="G136" i="130" s="1"/>
  <c r="G137" i="130" s="1"/>
  <c r="G138" i="130" s="1"/>
  <c r="G139" i="130" s="1"/>
  <c r="G140" i="130" s="1"/>
  <c r="G141" i="130" s="1"/>
  <c r="G142" i="130" s="1"/>
  <c r="G143" i="130" s="1"/>
  <c r="G144" i="130" s="1"/>
  <c r="G145" i="130" s="1"/>
  <c r="G146" i="130" s="1"/>
  <c r="G147" i="130" s="1"/>
  <c r="G148" i="130" s="1"/>
  <c r="D29" i="33"/>
  <c r="D28" i="33"/>
  <c r="D26" i="33"/>
  <c r="F22" i="33"/>
  <c r="E22" i="33"/>
  <c r="D22" i="33"/>
  <c r="D21" i="33"/>
  <c r="D20" i="33"/>
  <c r="D19" i="33"/>
  <c r="D18" i="33"/>
  <c r="D17" i="33"/>
  <c r="D15" i="33"/>
  <c r="E14" i="33"/>
  <c r="D14" i="33"/>
  <c r="D13" i="33"/>
  <c r="D12" i="33"/>
  <c r="D11" i="33"/>
  <c r="D10" i="33"/>
  <c r="D9" i="33"/>
  <c r="F11" i="128"/>
  <c r="F47" i="128" s="1"/>
  <c r="F47" i="129"/>
  <c r="F18" i="33" s="1"/>
  <c r="E47" i="129"/>
  <c r="G47" i="129" s="1"/>
  <c r="A12" i="129"/>
  <c r="A13" i="129" s="1"/>
  <c r="A14" i="129" s="1"/>
  <c r="A15" i="129" s="1"/>
  <c r="A16" i="129" s="1"/>
  <c r="A17" i="129" s="1"/>
  <c r="A18" i="129" s="1"/>
  <c r="A19" i="129" s="1"/>
  <c r="A20" i="129" s="1"/>
  <c r="A21" i="129" s="1"/>
  <c r="A22" i="129" s="1"/>
  <c r="A23" i="129" s="1"/>
  <c r="A24" i="129" s="1"/>
  <c r="A25" i="129" s="1"/>
  <c r="A26" i="129" s="1"/>
  <c r="A27" i="129" s="1"/>
  <c r="A28" i="129" s="1"/>
  <c r="A29" i="129" s="1"/>
  <c r="A30" i="129" s="1"/>
  <c r="A31" i="129" s="1"/>
  <c r="A32" i="129" s="1"/>
  <c r="A33" i="129" s="1"/>
  <c r="A34" i="129" s="1"/>
  <c r="A35" i="129" s="1"/>
  <c r="A36" i="129" s="1"/>
  <c r="A42" i="129" s="1"/>
  <c r="A43" i="129" s="1"/>
  <c r="A44" i="129" s="1"/>
  <c r="A45" i="129" s="1"/>
  <c r="A46" i="129" s="1"/>
  <c r="A11" i="129"/>
  <c r="G10" i="129"/>
  <c r="G11" i="129" s="1"/>
  <c r="G12" i="129" s="1"/>
  <c r="G13" i="129" s="1"/>
  <c r="G14" i="129" s="1"/>
  <c r="G15" i="129" s="1"/>
  <c r="G16" i="129" s="1"/>
  <c r="G17" i="129" s="1"/>
  <c r="G18" i="129" s="1"/>
  <c r="G19" i="129" s="1"/>
  <c r="G20" i="129" s="1"/>
  <c r="G21" i="129" s="1"/>
  <c r="G22" i="129" s="1"/>
  <c r="G23" i="129" s="1"/>
  <c r="G24" i="129" s="1"/>
  <c r="G25" i="129" s="1"/>
  <c r="G26" i="129" s="1"/>
  <c r="G27" i="129" s="1"/>
  <c r="G28" i="129" s="1"/>
  <c r="G29" i="129" s="1"/>
  <c r="G30" i="129" s="1"/>
  <c r="G31" i="129" s="1"/>
  <c r="G32" i="129" s="1"/>
  <c r="G33" i="129" s="1"/>
  <c r="G34" i="129" s="1"/>
  <c r="G35" i="129" s="1"/>
  <c r="G36" i="129" s="1"/>
  <c r="G37" i="129" s="1"/>
  <c r="G38" i="129" s="1"/>
  <c r="G39" i="129" s="1"/>
  <c r="G40" i="129" s="1"/>
  <c r="G41" i="129" s="1"/>
  <c r="G42" i="129" s="1"/>
  <c r="G43" i="129" s="1"/>
  <c r="G44" i="129" s="1"/>
  <c r="G45" i="129" s="1"/>
  <c r="G46" i="129" s="1"/>
  <c r="E47" i="128"/>
  <c r="A12" i="128"/>
  <c r="A13" i="128" s="1"/>
  <c r="A14" i="128" s="1"/>
  <c r="A15" i="128" s="1"/>
  <c r="A16" i="128" s="1"/>
  <c r="A17" i="128" s="1"/>
  <c r="A18" i="128" s="1"/>
  <c r="A19" i="128" s="1"/>
  <c r="A20" i="128" s="1"/>
  <c r="A21" i="128" s="1"/>
  <c r="A22" i="128" s="1"/>
  <c r="A23" i="128" s="1"/>
  <c r="A24" i="128" s="1"/>
  <c r="A25" i="128" s="1"/>
  <c r="A26" i="128" s="1"/>
  <c r="A27" i="128" s="1"/>
  <c r="A28" i="128" s="1"/>
  <c r="A29" i="128" s="1"/>
  <c r="A30" i="128" s="1"/>
  <c r="A31" i="128" s="1"/>
  <c r="A32" i="128" s="1"/>
  <c r="A33" i="128" s="1"/>
  <c r="A34" i="128" s="1"/>
  <c r="A35" i="128" s="1"/>
  <c r="A36" i="128" s="1"/>
  <c r="A42" i="128" s="1"/>
  <c r="A43" i="128" s="1"/>
  <c r="A44" i="128" s="1"/>
  <c r="A45" i="128" s="1"/>
  <c r="A46" i="128" s="1"/>
  <c r="A11" i="128"/>
  <c r="G10" i="128"/>
  <c r="G11" i="128" s="1"/>
  <c r="G12" i="128" s="1"/>
  <c r="G13" i="128" s="1"/>
  <c r="G14" i="128" s="1"/>
  <c r="G15" i="128" s="1"/>
  <c r="G16" i="128" s="1"/>
  <c r="G17" i="128" s="1"/>
  <c r="G18" i="128" s="1"/>
  <c r="G19" i="128" s="1"/>
  <c r="G20" i="128" s="1"/>
  <c r="G21" i="128" s="1"/>
  <c r="G22" i="128" s="1"/>
  <c r="G23" i="128" s="1"/>
  <c r="G24" i="128" s="1"/>
  <c r="G25" i="128" s="1"/>
  <c r="G26" i="128" s="1"/>
  <c r="G27" i="128" s="1"/>
  <c r="G28" i="128" s="1"/>
  <c r="G29" i="128" s="1"/>
  <c r="G30" i="128" s="1"/>
  <c r="G31" i="128" s="1"/>
  <c r="G32" i="128" s="1"/>
  <c r="G33" i="128" s="1"/>
  <c r="G34" i="128" s="1"/>
  <c r="G35" i="128" s="1"/>
  <c r="G36" i="128" s="1"/>
  <c r="G37" i="128" s="1"/>
  <c r="G38" i="128" s="1"/>
  <c r="G39" i="128" s="1"/>
  <c r="G40" i="128" s="1"/>
  <c r="G41" i="128" s="1"/>
  <c r="G42" i="128" s="1"/>
  <c r="G43" i="128" s="1"/>
  <c r="G44" i="128" s="1"/>
  <c r="G45" i="128" s="1"/>
  <c r="G46" i="128" s="1"/>
  <c r="F48" i="127"/>
  <c r="E48" i="127"/>
  <c r="E21" i="33" s="1"/>
  <c r="K18" i="33" s="1"/>
  <c r="A11" i="127"/>
  <c r="A12" i="127" s="1"/>
  <c r="A13" i="127" s="1"/>
  <c r="A14" i="127" s="1"/>
  <c r="A15" i="127" s="1"/>
  <c r="A16" i="127" s="1"/>
  <c r="G10" i="127"/>
  <c r="G11" i="127" s="1"/>
  <c r="G12" i="127" s="1"/>
  <c r="G13" i="127" s="1"/>
  <c r="G14" i="127" s="1"/>
  <c r="G15" i="127" s="1"/>
  <c r="G16" i="127" s="1"/>
  <c r="G17" i="127" s="1"/>
  <c r="G18" i="127" s="1"/>
  <c r="G19" i="127" s="1"/>
  <c r="G20" i="127" s="1"/>
  <c r="G21" i="127" s="1"/>
  <c r="G22" i="127" s="1"/>
  <c r="G23" i="127" s="1"/>
  <c r="G24" i="127" s="1"/>
  <c r="G25" i="127" s="1"/>
  <c r="G26" i="127" s="1"/>
  <c r="G27" i="127" s="1"/>
  <c r="G28" i="127" s="1"/>
  <c r="G29" i="127" s="1"/>
  <c r="G30" i="127" s="1"/>
  <c r="G31" i="127" s="1"/>
  <c r="G32" i="127" s="1"/>
  <c r="G33" i="127" s="1"/>
  <c r="G34" i="127" s="1"/>
  <c r="G35" i="127" s="1"/>
  <c r="G36" i="127" s="1"/>
  <c r="G37" i="127" s="1"/>
  <c r="G38" i="127" s="1"/>
  <c r="G39" i="127" s="1"/>
  <c r="G40" i="127" s="1"/>
  <c r="G41" i="127" s="1"/>
  <c r="G42" i="127" s="1"/>
  <c r="G43" i="127" s="1"/>
  <c r="G44" i="127" s="1"/>
  <c r="G45" i="127" s="1"/>
  <c r="G46" i="127" s="1"/>
  <c r="G47" i="127" s="1"/>
  <c r="F47" i="126"/>
  <c r="F20" i="33" s="1"/>
  <c r="E47" i="126"/>
  <c r="E20" i="33" s="1"/>
  <c r="A12" i="126"/>
  <c r="A13" i="126" s="1"/>
  <c r="A14" i="126" s="1"/>
  <c r="A15" i="126" s="1"/>
  <c r="A16" i="126" s="1"/>
  <c r="A17" i="126" s="1"/>
  <c r="A18" i="126" s="1"/>
  <c r="A19" i="126" s="1"/>
  <c r="A20" i="126" s="1"/>
  <c r="A21" i="126" s="1"/>
  <c r="A22" i="126" s="1"/>
  <c r="A23" i="126" s="1"/>
  <c r="A24" i="126" s="1"/>
  <c r="A25" i="126" s="1"/>
  <c r="A26" i="126" s="1"/>
  <c r="A27" i="126" s="1"/>
  <c r="A28" i="126" s="1"/>
  <c r="A29" i="126" s="1"/>
  <c r="A30" i="126" s="1"/>
  <c r="A31" i="126" s="1"/>
  <c r="A32" i="126" s="1"/>
  <c r="A33" i="126" s="1"/>
  <c r="A34" i="126" s="1"/>
  <c r="A35" i="126" s="1"/>
  <c r="A36" i="126" s="1"/>
  <c r="A42" i="126" s="1"/>
  <c r="A43" i="126" s="1"/>
  <c r="A44" i="126" s="1"/>
  <c r="A45" i="126" s="1"/>
  <c r="A46" i="126" s="1"/>
  <c r="A11" i="126"/>
  <c r="G10" i="126"/>
  <c r="G11" i="126" s="1"/>
  <c r="G12" i="126" s="1"/>
  <c r="G13" i="126" s="1"/>
  <c r="G14" i="126" s="1"/>
  <c r="G15" i="126" s="1"/>
  <c r="G16" i="126" s="1"/>
  <c r="G17" i="126" s="1"/>
  <c r="G18" i="126" s="1"/>
  <c r="G19" i="126" s="1"/>
  <c r="G20" i="126" s="1"/>
  <c r="G21" i="126" s="1"/>
  <c r="G22" i="126" s="1"/>
  <c r="G23" i="126" s="1"/>
  <c r="G24" i="126" s="1"/>
  <c r="G25" i="126" s="1"/>
  <c r="G26" i="126" s="1"/>
  <c r="G27" i="126" s="1"/>
  <c r="G28" i="126" s="1"/>
  <c r="G29" i="126" s="1"/>
  <c r="G30" i="126" s="1"/>
  <c r="G31" i="126" s="1"/>
  <c r="G32" i="126" s="1"/>
  <c r="G33" i="126" s="1"/>
  <c r="G34" i="126" s="1"/>
  <c r="G35" i="126" s="1"/>
  <c r="G36" i="126" s="1"/>
  <c r="G37" i="126" s="1"/>
  <c r="G38" i="126" s="1"/>
  <c r="G39" i="126" s="1"/>
  <c r="G40" i="126" s="1"/>
  <c r="G41" i="126" s="1"/>
  <c r="G42" i="126" s="1"/>
  <c r="G43" i="126" s="1"/>
  <c r="G44" i="126" s="1"/>
  <c r="G45" i="126" s="1"/>
  <c r="G46" i="126" s="1"/>
  <c r="F47" i="125"/>
  <c r="F19" i="33" s="1"/>
  <c r="E47" i="125"/>
  <c r="A12" i="125"/>
  <c r="A13" i="125" s="1"/>
  <c r="A14" i="125" s="1"/>
  <c r="A15" i="125" s="1"/>
  <c r="A16" i="125" s="1"/>
  <c r="A17" i="125" s="1"/>
  <c r="A18" i="125" s="1"/>
  <c r="A19" i="125" s="1"/>
  <c r="A20" i="125" s="1"/>
  <c r="A21" i="125" s="1"/>
  <c r="A22" i="125" s="1"/>
  <c r="A23" i="125" s="1"/>
  <c r="A24" i="125" s="1"/>
  <c r="A25" i="125" s="1"/>
  <c r="A26" i="125" s="1"/>
  <c r="A27" i="125" s="1"/>
  <c r="A28" i="125" s="1"/>
  <c r="A29" i="125" s="1"/>
  <c r="A30" i="125" s="1"/>
  <c r="A31" i="125" s="1"/>
  <c r="A32" i="125" s="1"/>
  <c r="A33" i="125" s="1"/>
  <c r="A34" i="125" s="1"/>
  <c r="A35" i="125" s="1"/>
  <c r="A36" i="125" s="1"/>
  <c r="A42" i="125" s="1"/>
  <c r="A43" i="125" s="1"/>
  <c r="A44" i="125" s="1"/>
  <c r="A45" i="125" s="1"/>
  <c r="A46" i="125" s="1"/>
  <c r="A11" i="125"/>
  <c r="G10" i="125"/>
  <c r="G11" i="125" s="1"/>
  <c r="G12" i="125" s="1"/>
  <c r="G13" i="125" s="1"/>
  <c r="G14" i="125" s="1"/>
  <c r="G15" i="125" s="1"/>
  <c r="G16" i="125" s="1"/>
  <c r="G17" i="125" s="1"/>
  <c r="G18" i="125" s="1"/>
  <c r="G19" i="125" s="1"/>
  <c r="G20" i="125" s="1"/>
  <c r="G21" i="125" s="1"/>
  <c r="G22" i="125" s="1"/>
  <c r="G23" i="125" s="1"/>
  <c r="G24" i="125" s="1"/>
  <c r="G25" i="125" s="1"/>
  <c r="G26" i="125" s="1"/>
  <c r="G27" i="125" s="1"/>
  <c r="G28" i="125" s="1"/>
  <c r="G29" i="125" s="1"/>
  <c r="G30" i="125" s="1"/>
  <c r="G31" i="125" s="1"/>
  <c r="G32" i="125" s="1"/>
  <c r="G33" i="125" s="1"/>
  <c r="G34" i="125" s="1"/>
  <c r="G35" i="125" s="1"/>
  <c r="G36" i="125" s="1"/>
  <c r="G37" i="125" s="1"/>
  <c r="G38" i="125" s="1"/>
  <c r="G39" i="125" s="1"/>
  <c r="G40" i="125" s="1"/>
  <c r="G41" i="125" s="1"/>
  <c r="G42" i="125" s="1"/>
  <c r="G43" i="125" s="1"/>
  <c r="G44" i="125" s="1"/>
  <c r="G45" i="125" s="1"/>
  <c r="G46" i="125" s="1"/>
  <c r="F146" i="9"/>
  <c r="F25" i="33" s="1"/>
  <c r="E146" i="9"/>
  <c r="E25" i="33" s="1"/>
  <c r="D25" i="33"/>
  <c r="D24" i="33"/>
  <c r="F47" i="124"/>
  <c r="F17" i="33" s="1"/>
  <c r="E47" i="124"/>
  <c r="L23" i="128" s="1"/>
  <c r="A12" i="124"/>
  <c r="A13" i="124" s="1"/>
  <c r="A14" i="124" s="1"/>
  <c r="A15" i="124" s="1"/>
  <c r="A16" i="124" s="1"/>
  <c r="A17" i="124" s="1"/>
  <c r="A18" i="124" s="1"/>
  <c r="A19" i="124" s="1"/>
  <c r="A20" i="124" s="1"/>
  <c r="A21" i="124" s="1"/>
  <c r="A22" i="124" s="1"/>
  <c r="A23" i="124" s="1"/>
  <c r="A24" i="124" s="1"/>
  <c r="A25" i="124" s="1"/>
  <c r="A26" i="124" s="1"/>
  <c r="A27" i="124" s="1"/>
  <c r="A28" i="124" s="1"/>
  <c r="A29" i="124" s="1"/>
  <c r="A30" i="124" s="1"/>
  <c r="A31" i="124" s="1"/>
  <c r="A32" i="124" s="1"/>
  <c r="A33" i="124" s="1"/>
  <c r="A34" i="124" s="1"/>
  <c r="A35" i="124" s="1"/>
  <c r="A36" i="124" s="1"/>
  <c r="A42" i="124" s="1"/>
  <c r="A43" i="124" s="1"/>
  <c r="A44" i="124" s="1"/>
  <c r="A45" i="124" s="1"/>
  <c r="A46" i="124" s="1"/>
  <c r="G11" i="124"/>
  <c r="G12" i="124" s="1"/>
  <c r="G13" i="124" s="1"/>
  <c r="G14" i="124" s="1"/>
  <c r="G15" i="124" s="1"/>
  <c r="G16" i="124" s="1"/>
  <c r="G17" i="124" s="1"/>
  <c r="G18" i="124" s="1"/>
  <c r="G19" i="124" s="1"/>
  <c r="G20" i="124" s="1"/>
  <c r="G21" i="124" s="1"/>
  <c r="G22" i="124" s="1"/>
  <c r="G23" i="124" s="1"/>
  <c r="G24" i="124" s="1"/>
  <c r="G25" i="124" s="1"/>
  <c r="G26" i="124" s="1"/>
  <c r="G27" i="124" s="1"/>
  <c r="G28" i="124" s="1"/>
  <c r="G29" i="124" s="1"/>
  <c r="G30" i="124" s="1"/>
  <c r="G31" i="124" s="1"/>
  <c r="G32" i="124" s="1"/>
  <c r="G33" i="124" s="1"/>
  <c r="G34" i="124" s="1"/>
  <c r="G35" i="124" s="1"/>
  <c r="G36" i="124" s="1"/>
  <c r="G37" i="124" s="1"/>
  <c r="G38" i="124" s="1"/>
  <c r="G39" i="124" s="1"/>
  <c r="G40" i="124" s="1"/>
  <c r="G41" i="124" s="1"/>
  <c r="G42" i="124" s="1"/>
  <c r="G43" i="124" s="1"/>
  <c r="G44" i="124" s="1"/>
  <c r="G45" i="124" s="1"/>
  <c r="G46" i="124" s="1"/>
  <c r="A11" i="124"/>
  <c r="G10" i="124"/>
  <c r="F84" i="2"/>
  <c r="F11" i="33" s="1"/>
  <c r="E84" i="2"/>
  <c r="E11" i="33" s="1"/>
  <c r="G47" i="125" l="1"/>
  <c r="F21" i="33"/>
  <c r="G21" i="33" s="1"/>
  <c r="G48" i="127"/>
  <c r="A17" i="127"/>
  <c r="A18" i="127" s="1"/>
  <c r="A19" i="127" s="1"/>
  <c r="A20" i="127" s="1"/>
  <c r="A21" i="127" s="1"/>
  <c r="A22" i="127" s="1"/>
  <c r="A23" i="127" s="1"/>
  <c r="A24" i="127" s="1"/>
  <c r="A25" i="127" s="1"/>
  <c r="E18" i="33"/>
  <c r="E17" i="33"/>
  <c r="G22" i="33"/>
  <c r="E19" i="33"/>
  <c r="K19" i="33" s="1"/>
  <c r="G18" i="33"/>
  <c r="I23" i="33" s="1"/>
  <c r="G20" i="33"/>
  <c r="G47" i="126"/>
  <c r="G47" i="128"/>
  <c r="G47" i="124"/>
  <c r="K17" i="33" l="1"/>
  <c r="K28" i="33"/>
  <c r="G19" i="33"/>
  <c r="E160" i="114"/>
  <c r="E28" i="33" s="1"/>
  <c r="F160" i="114"/>
  <c r="F28" i="33" s="1"/>
  <c r="A4" i="114"/>
  <c r="G28" i="33" l="1"/>
  <c r="G160" i="114"/>
  <c r="G9" i="114"/>
  <c r="G10" i="114" s="1"/>
  <c r="G11" i="114" s="1"/>
  <c r="G12" i="114" s="1"/>
  <c r="G13" i="114" s="1"/>
  <c r="G14" i="114" s="1"/>
  <c r="G15" i="114" s="1"/>
  <c r="G16" i="114" s="1"/>
  <c r="G17" i="114" s="1"/>
  <c r="G18" i="114" s="1"/>
  <c r="G19" i="114" l="1"/>
  <c r="G20" i="114" s="1"/>
  <c r="A28" i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l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O22" i="10"/>
  <c r="F56" i="97" l="1"/>
  <c r="E56" i="97"/>
  <c r="A10" i="97"/>
  <c r="A11" i="97" s="1"/>
  <c r="A12" i="97" s="1"/>
  <c r="A13" i="97" s="1"/>
  <c r="A14" i="97" s="1"/>
  <c r="A15" i="97" s="1"/>
  <c r="A16" i="97" s="1"/>
  <c r="A17" i="97" s="1"/>
  <c r="A18" i="97" s="1"/>
  <c r="A19" i="97" s="1"/>
  <c r="A20" i="97" s="1"/>
  <c r="A21" i="97" s="1"/>
  <c r="A22" i="97" s="1"/>
  <c r="A23" i="97" s="1"/>
  <c r="A24" i="97" s="1"/>
  <c r="A25" i="97" s="1"/>
  <c r="A26" i="97" s="1"/>
  <c r="A27" i="97" s="1"/>
  <c r="A28" i="97" s="1"/>
  <c r="A29" i="97" s="1"/>
  <c r="A30" i="97" s="1"/>
  <c r="A31" i="97" s="1"/>
  <c r="A32" i="97" s="1"/>
  <c r="A33" i="97" s="1"/>
  <c r="A34" i="97" s="1"/>
  <c r="A35" i="97" s="1"/>
  <c r="A36" i="97" s="1"/>
  <c r="A37" i="97" s="1"/>
  <c r="A38" i="97" s="1"/>
  <c r="A39" i="97" s="1"/>
  <c r="A40" i="97" s="1"/>
  <c r="A41" i="97" s="1"/>
  <c r="A42" i="97" s="1"/>
  <c r="A43" i="97" s="1"/>
  <c r="A44" i="97" s="1"/>
  <c r="A45" i="97" s="1"/>
  <c r="A46" i="97" s="1"/>
  <c r="A47" i="97" s="1"/>
  <c r="A48" i="97" s="1"/>
  <c r="A49" i="97" s="1"/>
  <c r="A50" i="97" s="1"/>
  <c r="A51" i="97" s="1"/>
  <c r="A52" i="97" s="1"/>
  <c r="A53" i="97" s="1"/>
  <c r="A54" i="97" s="1"/>
  <c r="A55" i="97" s="1"/>
  <c r="G9" i="97"/>
  <c r="G10" i="97" s="1"/>
  <c r="G11" i="97" s="1"/>
  <c r="G12" i="97" s="1"/>
  <c r="G13" i="97" s="1"/>
  <c r="G14" i="97" s="1"/>
  <c r="G15" i="97" s="1"/>
  <c r="G16" i="97" s="1"/>
  <c r="G17" i="97" s="1"/>
  <c r="G18" i="97" s="1"/>
  <c r="G19" i="97" s="1"/>
  <c r="G20" i="97" s="1"/>
  <c r="G21" i="97" s="1"/>
  <c r="G22" i="97" s="1"/>
  <c r="G23" i="97" s="1"/>
  <c r="G24" i="97" s="1"/>
  <c r="G25" i="97" s="1"/>
  <c r="G26" i="97" s="1"/>
  <c r="G27" i="97" s="1"/>
  <c r="G28" i="97" s="1"/>
  <c r="G29" i="97" s="1"/>
  <c r="G30" i="97" s="1"/>
  <c r="G31" i="97" s="1"/>
  <c r="G32" i="97" s="1"/>
  <c r="G33" i="97" s="1"/>
  <c r="G34" i="97" s="1"/>
  <c r="G35" i="97" s="1"/>
  <c r="G36" i="97" s="1"/>
  <c r="G37" i="97" s="1"/>
  <c r="G38" i="97" s="1"/>
  <c r="G39" i="97" s="1"/>
  <c r="G40" i="97" s="1"/>
  <c r="G41" i="97" s="1"/>
  <c r="G42" i="97" s="1"/>
  <c r="G43" i="97" s="1"/>
  <c r="G44" i="97" s="1"/>
  <c r="G45" i="97" s="1"/>
  <c r="G46" i="97" s="1"/>
  <c r="G47" i="97" s="1"/>
  <c r="G48" i="97" s="1"/>
  <c r="G49" i="97" s="1"/>
  <c r="G50" i="97" s="1"/>
  <c r="G51" i="97" s="1"/>
  <c r="G52" i="97" s="1"/>
  <c r="G53" i="97" s="1"/>
  <c r="G54" i="97" s="1"/>
  <c r="G55" i="97" s="1"/>
  <c r="E10" i="33" l="1"/>
  <c r="F10" i="33"/>
  <c r="G56" i="97"/>
  <c r="F151" i="56" l="1"/>
  <c r="F29" i="33" s="1"/>
  <c r="E151" i="56"/>
  <c r="E29" i="33" s="1"/>
  <c r="G9" i="56"/>
  <c r="G10" i="56" s="1"/>
  <c r="G11" i="56" s="1"/>
  <c r="G12" i="56" s="1"/>
  <c r="G13" i="56" s="1"/>
  <c r="G14" i="56" s="1"/>
  <c r="G15" i="56" s="1"/>
  <c r="A4" i="56"/>
  <c r="F153" i="55"/>
  <c r="E153" i="55"/>
  <c r="G9" i="55"/>
  <c r="G10" i="55" s="1"/>
  <c r="G11" i="55" s="1"/>
  <c r="G12" i="55" s="1"/>
  <c r="G13" i="55" s="1"/>
  <c r="G14" i="55" s="1"/>
  <c r="G15" i="55" s="1"/>
  <c r="G16" i="55" s="1"/>
  <c r="G17" i="55" s="1"/>
  <c r="G18" i="55" s="1"/>
  <c r="G19" i="55" s="1"/>
  <c r="G20" i="55" s="1"/>
  <c r="G21" i="55" s="1"/>
  <c r="G22" i="55" s="1"/>
  <c r="G23" i="55" s="1"/>
  <c r="G24" i="55" s="1"/>
  <c r="G25" i="55" s="1"/>
  <c r="G26" i="55" s="1"/>
  <c r="G27" i="55" s="1"/>
  <c r="G28" i="55" s="1"/>
  <c r="G29" i="55" s="1"/>
  <c r="G30" i="55" s="1"/>
  <c r="G31" i="55" s="1"/>
  <c r="G32" i="55" s="1"/>
  <c r="G33" i="55" s="1"/>
  <c r="G34" i="55" s="1"/>
  <c r="G35" i="55" s="1"/>
  <c r="G36" i="55" s="1"/>
  <c r="G37" i="55" s="1"/>
  <c r="G38" i="55" s="1"/>
  <c r="G39" i="55" s="1"/>
  <c r="G40" i="55" s="1"/>
  <c r="G41" i="55" s="1"/>
  <c r="G42" i="55" s="1"/>
  <c r="G43" i="55" s="1"/>
  <c r="G44" i="55" s="1"/>
  <c r="G45" i="55" s="1"/>
  <c r="G46" i="55" s="1"/>
  <c r="G47" i="55" s="1"/>
  <c r="G48" i="55" s="1"/>
  <c r="G49" i="55" s="1"/>
  <c r="G50" i="55" s="1"/>
  <c r="G51" i="55" s="1"/>
  <c r="G52" i="55" s="1"/>
  <c r="G53" i="55" s="1"/>
  <c r="G54" i="55" s="1"/>
  <c r="G55" i="55" s="1"/>
  <c r="G56" i="55" s="1"/>
  <c r="G57" i="55" s="1"/>
  <c r="G58" i="55" s="1"/>
  <c r="G59" i="55" s="1"/>
  <c r="G60" i="55" s="1"/>
  <c r="G61" i="55" s="1"/>
  <c r="G62" i="55" s="1"/>
  <c r="G63" i="55" s="1"/>
  <c r="G64" i="55" s="1"/>
  <c r="G65" i="55" s="1"/>
  <c r="G66" i="55" s="1"/>
  <c r="G67" i="55" s="1"/>
  <c r="G68" i="55" s="1"/>
  <c r="G69" i="55" s="1"/>
  <c r="G70" i="55" s="1"/>
  <c r="G71" i="55" s="1"/>
  <c r="G72" i="55" s="1"/>
  <c r="G73" i="55" s="1"/>
  <c r="G74" i="55" s="1"/>
  <c r="G75" i="55" s="1"/>
  <c r="G76" i="55" s="1"/>
  <c r="G77" i="55" s="1"/>
  <c r="G78" i="55" s="1"/>
  <c r="G79" i="55" s="1"/>
  <c r="G80" i="55" s="1"/>
  <c r="G81" i="55" s="1"/>
  <c r="G82" i="55" s="1"/>
  <c r="G83" i="55" s="1"/>
  <c r="G84" i="55" s="1"/>
  <c r="G85" i="55" s="1"/>
  <c r="G86" i="55" s="1"/>
  <c r="G87" i="55" s="1"/>
  <c r="G88" i="55" s="1"/>
  <c r="G89" i="55" s="1"/>
  <c r="G90" i="55" s="1"/>
  <c r="G91" i="55" s="1"/>
  <c r="G92" i="55" s="1"/>
  <c r="G93" i="55" s="1"/>
  <c r="G94" i="55" s="1"/>
  <c r="G95" i="55" s="1"/>
  <c r="G96" i="55" s="1"/>
  <c r="G97" i="55" s="1"/>
  <c r="G98" i="55" s="1"/>
  <c r="G99" i="55" s="1"/>
  <c r="G100" i="55" s="1"/>
  <c r="G101" i="55" s="1"/>
  <c r="G102" i="55" s="1"/>
  <c r="G103" i="55" s="1"/>
  <c r="G104" i="55" s="1"/>
  <c r="G105" i="55" s="1"/>
  <c r="G106" i="55" s="1"/>
  <c r="G107" i="55" s="1"/>
  <c r="G108" i="55" s="1"/>
  <c r="G109" i="55" s="1"/>
  <c r="G110" i="55" s="1"/>
  <c r="G111" i="55" s="1"/>
  <c r="G112" i="55" s="1"/>
  <c r="G113" i="55" s="1"/>
  <c r="G114" i="55" s="1"/>
  <c r="G115" i="55" s="1"/>
  <c r="G116" i="55" s="1"/>
  <c r="G117" i="55" s="1"/>
  <c r="G118" i="55" s="1"/>
  <c r="G119" i="55" s="1"/>
  <c r="G120" i="55" s="1"/>
  <c r="G121" i="55" s="1"/>
  <c r="G122" i="55" s="1"/>
  <c r="G123" i="55" s="1"/>
  <c r="G124" i="55" s="1"/>
  <c r="G125" i="55" s="1"/>
  <c r="G126" i="55" s="1"/>
  <c r="G127" i="55" s="1"/>
  <c r="G128" i="55" s="1"/>
  <c r="G129" i="55" s="1"/>
  <c r="G130" i="55" s="1"/>
  <c r="G131" i="55" s="1"/>
  <c r="G132" i="55" s="1"/>
  <c r="G133" i="55" s="1"/>
  <c r="G134" i="55" s="1"/>
  <c r="G135" i="55" s="1"/>
  <c r="G136" i="55" s="1"/>
  <c r="G137" i="55" s="1"/>
  <c r="G138" i="55" s="1"/>
  <c r="G139" i="55" s="1"/>
  <c r="G140" i="55" s="1"/>
  <c r="G141" i="55" s="1"/>
  <c r="G142" i="55" s="1"/>
  <c r="G143" i="55" s="1"/>
  <c r="G144" i="55" s="1"/>
  <c r="G145" i="55" s="1"/>
  <c r="G146" i="55" s="1"/>
  <c r="G147" i="55" s="1"/>
  <c r="G148" i="55" s="1"/>
  <c r="G149" i="55" s="1"/>
  <c r="G150" i="55" s="1"/>
  <c r="G151" i="55" s="1"/>
  <c r="G152" i="55" s="1"/>
  <c r="A4" i="55"/>
  <c r="G29" i="33" l="1"/>
  <c r="G153" i="55"/>
  <c r="G151" i="56"/>
  <c r="A10" i="33" l="1"/>
  <c r="A11" i="33" s="1"/>
  <c r="A12" i="33" s="1"/>
  <c r="A13" i="33" s="1"/>
  <c r="A14" i="33" s="1"/>
  <c r="A15" i="33" s="1"/>
  <c r="A17" i="33" s="1"/>
  <c r="A18" i="33" s="1"/>
  <c r="A19" i="33" s="1"/>
  <c r="A20" i="33" s="1"/>
  <c r="A21" i="33" s="1"/>
  <c r="A22" i="33" s="1"/>
  <c r="A24" i="33" s="1"/>
  <c r="A25" i="33" s="1"/>
  <c r="A26" i="33" s="1"/>
  <c r="A27" i="33" s="1"/>
  <c r="A28" i="33" s="1"/>
  <c r="A29" i="33" s="1"/>
  <c r="F158" i="10" l="1"/>
  <c r="F26" i="33" s="1"/>
  <c r="E158" i="10"/>
  <c r="E26" i="33" s="1"/>
  <c r="G9" i="10"/>
  <c r="G10" i="10" s="1"/>
  <c r="G11" i="10" s="1"/>
  <c r="G21" i="10" s="1"/>
  <c r="G22" i="10" s="1"/>
  <c r="G23" i="10" s="1"/>
  <c r="G24" i="10" s="1"/>
  <c r="G25" i="10" s="1"/>
  <c r="G26" i="10" s="1"/>
  <c r="G27" i="10" s="1"/>
  <c r="A4" i="10"/>
  <c r="A10" i="9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30" i="9" s="1"/>
  <c r="A31" i="9" s="1"/>
  <c r="A32" i="9" s="1"/>
  <c r="A33" i="9" s="1"/>
  <c r="A34" i="9" s="1"/>
  <c r="A35" i="9" s="1"/>
  <c r="A36" i="9" s="1"/>
  <c r="A38" i="9" s="1"/>
  <c r="A39" i="9" s="1"/>
  <c r="A40" i="9" s="1"/>
  <c r="A41" i="9" s="1"/>
  <c r="A42" i="9" s="1"/>
  <c r="A43" i="9" s="1"/>
  <c r="G9" i="9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A4" i="9"/>
  <c r="F59" i="8"/>
  <c r="F24" i="33" s="1"/>
  <c r="E59" i="8"/>
  <c r="E24" i="33" s="1"/>
  <c r="A10" i="8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G9" i="8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A4" i="8"/>
  <c r="F47" i="7"/>
  <c r="A11" i="7"/>
  <c r="A12" i="7" s="1"/>
  <c r="A13" i="7" s="1"/>
  <c r="E47" i="7"/>
  <c r="G37" i="9" l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83" i="9" s="1"/>
  <c r="G84" i="9" s="1"/>
  <c r="G85" i="9" s="1"/>
  <c r="G86" i="9" s="1"/>
  <c r="G87" i="9" s="1"/>
  <c r="G88" i="9" s="1"/>
  <c r="G89" i="9" s="1"/>
  <c r="G90" i="9" s="1"/>
  <c r="G91" i="9" s="1"/>
  <c r="G92" i="9" s="1"/>
  <c r="G93" i="9" s="1"/>
  <c r="G94" i="9" s="1"/>
  <c r="G95" i="9" s="1"/>
  <c r="G96" i="9" s="1"/>
  <c r="G97" i="9" s="1"/>
  <c r="G98" i="9" s="1"/>
  <c r="G99" i="9" s="1"/>
  <c r="G100" i="9" s="1"/>
  <c r="G101" i="9" s="1"/>
  <c r="G102" i="9" s="1"/>
  <c r="G103" i="9" s="1"/>
  <c r="G104" i="9" s="1"/>
  <c r="G105" i="9" s="1"/>
  <c r="G106" i="9" s="1"/>
  <c r="G107" i="9" s="1"/>
  <c r="G108" i="9" s="1"/>
  <c r="G109" i="9" s="1"/>
  <c r="G110" i="9" s="1"/>
  <c r="G111" i="9" s="1"/>
  <c r="G112" i="9" s="1"/>
  <c r="G113" i="9" s="1"/>
  <c r="G114" i="9" s="1"/>
  <c r="G115" i="9" s="1"/>
  <c r="G116" i="9" s="1"/>
  <c r="G117" i="9" s="1"/>
  <c r="G118" i="9" s="1"/>
  <c r="G119" i="9" s="1"/>
  <c r="G120" i="9" s="1"/>
  <c r="G121" i="9" s="1"/>
  <c r="G122" i="9" s="1"/>
  <c r="G123" i="9" s="1"/>
  <c r="G124" i="9" s="1"/>
  <c r="G125" i="9" s="1"/>
  <c r="G126" i="9" s="1"/>
  <c r="G26" i="33"/>
  <c r="A44" i="9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E15" i="33"/>
  <c r="F15" i="33"/>
  <c r="I20" i="33" s="1"/>
  <c r="G28" i="10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68" i="10" s="1"/>
  <c r="G69" i="10" s="1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 s="1"/>
  <c r="G88" i="10" s="1"/>
  <c r="G89" i="10" s="1"/>
  <c r="G90" i="10" s="1"/>
  <c r="G91" i="10" s="1"/>
  <c r="G92" i="10" s="1"/>
  <c r="G93" i="10" s="1"/>
  <c r="G94" i="10" s="1"/>
  <c r="G95" i="10" s="1"/>
  <c r="G96" i="10" s="1"/>
  <c r="G97" i="10" s="1"/>
  <c r="G98" i="10" s="1"/>
  <c r="G99" i="10" s="1"/>
  <c r="G100" i="10" s="1"/>
  <c r="G101" i="10" s="1"/>
  <c r="G102" i="10" s="1"/>
  <c r="G103" i="10" s="1"/>
  <c r="G104" i="10" s="1"/>
  <c r="G105" i="10" s="1"/>
  <c r="G106" i="10" s="1"/>
  <c r="G107" i="10" s="1"/>
  <c r="G108" i="10" s="1"/>
  <c r="G109" i="10" s="1"/>
  <c r="G110" i="10" s="1"/>
  <c r="G111" i="10" s="1"/>
  <c r="G112" i="10" s="1"/>
  <c r="G113" i="10" s="1"/>
  <c r="G114" i="10" s="1"/>
  <c r="G115" i="10" s="1"/>
  <c r="G116" i="10" s="1"/>
  <c r="G117" i="10" s="1"/>
  <c r="G118" i="10" s="1"/>
  <c r="G119" i="10" s="1"/>
  <c r="G120" i="10" s="1"/>
  <c r="G121" i="10" s="1"/>
  <c r="G122" i="10" s="1"/>
  <c r="G123" i="10" s="1"/>
  <c r="G124" i="10" s="1"/>
  <c r="G125" i="10" s="1"/>
  <c r="G126" i="10" s="1"/>
  <c r="G127" i="10" s="1"/>
  <c r="G128" i="10" s="1"/>
  <c r="G129" i="10" s="1"/>
  <c r="G130" i="10" s="1"/>
  <c r="G131" i="10" s="1"/>
  <c r="G132" i="10" s="1"/>
  <c r="G133" i="10" s="1"/>
  <c r="G134" i="10" s="1"/>
  <c r="G135" i="10" s="1"/>
  <c r="G136" i="10" s="1"/>
  <c r="G137" i="10" s="1"/>
  <c r="G138" i="10" s="1"/>
  <c r="G139" i="10" s="1"/>
  <c r="G140" i="10" s="1"/>
  <c r="G141" i="10" s="1"/>
  <c r="G142" i="10" s="1"/>
  <c r="G143" i="10" s="1"/>
  <c r="G144" i="10" s="1"/>
  <c r="G145" i="10" s="1"/>
  <c r="G146" i="10" s="1"/>
  <c r="G147" i="10" s="1"/>
  <c r="G148" i="10" s="1"/>
  <c r="G149" i="10" s="1"/>
  <c r="G150" i="10" s="1"/>
  <c r="G151" i="10" s="1"/>
  <c r="G152" i="10" s="1"/>
  <c r="G153" i="10" s="1"/>
  <c r="G154" i="10" s="1"/>
  <c r="G155" i="10" s="1"/>
  <c r="G156" i="10" s="1"/>
  <c r="G157" i="10" s="1"/>
  <c r="G25" i="33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42" i="7" s="1"/>
  <c r="A43" i="7" s="1"/>
  <c r="A44" i="7" s="1"/>
  <c r="A45" i="7" s="1"/>
  <c r="A46" i="7" s="1"/>
  <c r="G146" i="9"/>
  <c r="G24" i="33"/>
  <c r="G47" i="7"/>
  <c r="G158" i="10"/>
  <c r="G59" i="8"/>
  <c r="G10" i="7"/>
  <c r="G11" i="7" s="1"/>
  <c r="G12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60" i="5"/>
  <c r="F54" i="5"/>
  <c r="F44" i="5"/>
  <c r="E43" i="5"/>
  <c r="F43" i="5"/>
  <c r="F14" i="33" s="1"/>
  <c r="G14" i="33" s="1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G9" i="5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J5" i="5"/>
  <c r="A4" i="5"/>
  <c r="H67" i="4"/>
  <c r="H66" i="4"/>
  <c r="F62" i="4"/>
  <c r="E61" i="4"/>
  <c r="E13" i="33" s="1"/>
  <c r="F61" i="4"/>
  <c r="F13" i="33" s="1"/>
  <c r="A10" i="4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G9" i="4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A4" i="4"/>
  <c r="F42" i="3"/>
  <c r="F12" i="33" s="1"/>
  <c r="E42" i="3"/>
  <c r="E12" i="33" s="1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G10" i="3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F106" i="2"/>
  <c r="F107" i="2" s="1"/>
  <c r="H87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G10" i="2"/>
  <c r="G11" i="2" s="1"/>
  <c r="A69" i="9" l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G15" i="33"/>
  <c r="K15" i="33"/>
  <c r="L15" i="33" s="1"/>
  <c r="H18" i="33"/>
  <c r="G11" i="33"/>
  <c r="G13" i="33"/>
  <c r="G42" i="3"/>
  <c r="G17" i="33"/>
  <c r="G10" i="33"/>
  <c r="G12" i="2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34" i="4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3" i="5"/>
  <c r="G61" i="4"/>
  <c r="G84" i="2"/>
  <c r="F85" i="2" s="1"/>
  <c r="F86" i="2" s="1"/>
  <c r="G47" i="4" l="1"/>
  <c r="G48" i="4" s="1"/>
  <c r="E150" i="1"/>
  <c r="A10" i="1"/>
  <c r="A11" i="1" s="1"/>
  <c r="A12" i="1" s="1"/>
  <c r="A13" i="1" s="1"/>
  <c r="A14" i="1" s="1"/>
  <c r="A15" i="1" s="1"/>
  <c r="A16" i="1" s="1"/>
  <c r="A18" i="1" s="1"/>
  <c r="A19" i="1" s="1"/>
  <c r="A20" i="1" s="1"/>
  <c r="A21" i="1" s="1"/>
  <c r="A22" i="1" s="1"/>
  <c r="A23" i="1" s="1"/>
  <c r="A24" i="1" s="1"/>
  <c r="A25" i="1" s="1"/>
  <c r="A26" i="1" s="1"/>
  <c r="E9" i="33" l="1"/>
  <c r="E30" i="33" s="1"/>
  <c r="F154" i="1"/>
  <c r="G49" i="4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F150" i="1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l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50" i="1"/>
  <c r="F9" i="33"/>
  <c r="F30" i="33" s="1"/>
  <c r="G12" i="33"/>
  <c r="G9" i="33" l="1"/>
  <c r="G30" i="33" s="1"/>
</calcChain>
</file>

<file path=xl/sharedStrings.xml><?xml version="1.0" encoding="utf-8"?>
<sst xmlns="http://schemas.openxmlformats.org/spreadsheetml/2006/main" count="1909" uniqueCount="180">
  <si>
    <t xml:space="preserve">Công ty TNHH Giấy Đông Á </t>
  </si>
  <si>
    <t>Thôn Mộc Ty, xã Trưng Trắc, huyện Văn Lâm, tỉnh Hưng Yên</t>
  </si>
  <si>
    <t>THẺ KHO NGUYÊN VẬT LIỆU</t>
  </si>
  <si>
    <t>STT</t>
  </si>
  <si>
    <t>Ngày tháng</t>
  </si>
  <si>
    <t>ĐVT</t>
  </si>
  <si>
    <t>Số lượng
 nhập</t>
  </si>
  <si>
    <t>Số lượng
 xuất</t>
  </si>
  <si>
    <t xml:space="preserve">Tồn </t>
  </si>
  <si>
    <t>Người nhận</t>
  </si>
  <si>
    <t>Ghi chú</t>
  </si>
  <si>
    <t xml:space="preserve">Tồn đầu kỳ </t>
  </si>
  <si>
    <t>cái</t>
  </si>
  <si>
    <t>Tổng cộng</t>
  </si>
  <si>
    <t>Tồn đầu kỳ</t>
  </si>
  <si>
    <t>Hỏng 5 hộp</t>
  </si>
  <si>
    <t xml:space="preserve">Cty TNHH Đông Á </t>
  </si>
  <si>
    <t>kg</t>
  </si>
  <si>
    <t>Nhập lại kho cho khớp vưới kk ngày 28/02/2019</t>
  </si>
  <si>
    <t>Kg</t>
  </si>
  <si>
    <t>Cái</t>
  </si>
  <si>
    <t>Hộp</t>
  </si>
  <si>
    <t>Hỏng 5 cái hộp</t>
  </si>
  <si>
    <t>Hỏng 1 cái hộp</t>
  </si>
  <si>
    <t>Nguyễn thanh Tâm</t>
  </si>
  <si>
    <t>SX</t>
  </si>
  <si>
    <t>Nguyễn Thanh Tâm</t>
  </si>
  <si>
    <t>Nguyễn Thị ,Tâm</t>
  </si>
  <si>
    <t>Đơn
 vị tính</t>
  </si>
  <si>
    <t>Tồn 
đầu kỳ</t>
  </si>
  <si>
    <t>Tồn cuối</t>
  </si>
  <si>
    <t>Tên nguyên vật liệu</t>
  </si>
  <si>
    <t>Nguyễn Thị Liên</t>
  </si>
  <si>
    <t>Sản xuất</t>
  </si>
  <si>
    <t>Nguyễn thị Liên</t>
  </si>
  <si>
    <t>Bao vô cây cuộn CN 47*95</t>
  </si>
  <si>
    <t>Thử máy</t>
  </si>
  <si>
    <t>Bao bì minh sơn</t>
  </si>
  <si>
    <t>Bao Bì minh Sơn</t>
  </si>
  <si>
    <t>Đóng lại hàng linh an</t>
  </si>
  <si>
    <t>Vỏ thùng otakami 320/80</t>
  </si>
  <si>
    <t>Vỏ thùng otakami 320/76</t>
  </si>
  <si>
    <t>Thùng otakami 180/80</t>
  </si>
  <si>
    <t>Vỏ thùng otakami  180/80</t>
  </si>
  <si>
    <t>Thùng otakami 700g/80</t>
  </si>
  <si>
    <t>Thùng otakami700g/76</t>
  </si>
  <si>
    <t>Thùng otakami 160/80</t>
  </si>
  <si>
    <t>Vỏ thùng otakami  700/80</t>
  </si>
  <si>
    <t>Vỏ thùng otakami  700/76</t>
  </si>
  <si>
    <t>Vỏ thùng otakami  160/80</t>
  </si>
  <si>
    <t>Phôi Định Lượng 15. 2 Lớp (320 M)</t>
  </si>
  <si>
    <t>17 cuộn</t>
  </si>
  <si>
    <t>Phôi Định Lượng 18. 2 Lớp (700g)</t>
  </si>
  <si>
    <t>24 cuộn</t>
  </si>
  <si>
    <t>Lõi 76 k2850</t>
  </si>
  <si>
    <t>ống</t>
  </si>
  <si>
    <t>Lỗi 80 k2850</t>
  </si>
  <si>
    <t>Phôi ĐL 15 - 2 Lớp</t>
  </si>
  <si>
    <t>Phôi ĐL 18 - 2 Lớp</t>
  </si>
  <si>
    <t>Lõi 76 k 2850</t>
  </si>
  <si>
    <t>Lõi 80 k2850</t>
  </si>
  <si>
    <t>có 10 vỏ lỗi</t>
  </si>
  <si>
    <t>Phôi Định Lượng 23. 2 Lớp (160m)</t>
  </si>
  <si>
    <t>Phôi Định Lượng 18. 2 Lớp (600g)</t>
  </si>
  <si>
    <t>Phôi Định Lượng 16. 2 Lớp (180m)</t>
  </si>
  <si>
    <t>Phôi Định Lượng 18. 1 Lớp (600g)</t>
  </si>
  <si>
    <t>Phôi Định Lượng 18. 1 Lớp (700g)</t>
  </si>
  <si>
    <t>Chạy 700g/80</t>
  </si>
  <si>
    <t>Chạy 700g/80 Có 52 thùng chạy 700g/76</t>
  </si>
  <si>
    <t>phôi k đúng định lượng</t>
  </si>
  <si>
    <t>Bao trắng otakami GVS 600G -BB /80(1020*470*19)</t>
  </si>
  <si>
    <t>Bao trăng otakami 320M 76 - MTL (900*490*195)</t>
  </si>
  <si>
    <t>Bao trắng otakami 320 M -76-MTL ( 20*69*9)</t>
  </si>
  <si>
    <t>Phôi ĐL 18 - 1Lớp - 700g</t>
  </si>
  <si>
    <t>Phôi ĐL 23 - 2Lớp - 700g - 160 M</t>
  </si>
  <si>
    <t>Phôi ĐL 18 - 2Lớp - 600G</t>
  </si>
  <si>
    <t>XUẤT NHẬP TỒN NĂM 2025</t>
  </si>
  <si>
    <t>Phôi ĐL 18 - 1Lớp -  600 M</t>
  </si>
  <si>
    <t>Bao trắng 600 BB/80</t>
  </si>
  <si>
    <t>Bao trắng 320 M - C</t>
  </si>
  <si>
    <t>Bao trắng 320M - 76 - MTL</t>
  </si>
  <si>
    <t>Bao trắng otakami 320 M -76-MTL</t>
  </si>
  <si>
    <t>Phôi ĐL 16 - 2Lớp -  180 M</t>
  </si>
  <si>
    <t>Bao trắng otakami GVS CN 320 M -C: TD (890*490*195)</t>
  </si>
  <si>
    <t>Phôi ĐL 15,5 - 2 Lớp</t>
  </si>
  <si>
    <t>Phôi Định Lượng 15.5 2 lớp</t>
  </si>
  <si>
    <t>Phôi Định Lượng 18,5- 2 Lớp</t>
  </si>
  <si>
    <t>Phôi ĐL 18,5 - 2Lớp</t>
  </si>
  <si>
    <t>DL 15 và 15,5 :</t>
  </si>
  <si>
    <t>DL 18 :</t>
  </si>
  <si>
    <t>DL 16 :</t>
  </si>
  <si>
    <t>DL 23 :</t>
  </si>
  <si>
    <t>Nhập lại sx</t>
  </si>
  <si>
    <t>xuất thùng 76 sang 80 đặt lẫn vào nhau 40 cái</t>
  </si>
  <si>
    <t>Xuất chạy 320M/80 - MC (điều chuyển thùng 76 thành thùng 80)</t>
  </si>
  <si>
    <t>Cộng 109 vỏ thùng 320/76 do nhầm thùng</t>
  </si>
  <si>
    <t>Xuất 109 vỏ thùng 320/80 sang 320/76</t>
  </si>
  <si>
    <t>Trong 407 cái  vỏ thùng có 40 cái lẫn thùng 80</t>
  </si>
  <si>
    <t>Nhập 40 cái vỏ thùng 80 xếp lẫn trong thùng 76</t>
  </si>
  <si>
    <t>Chạy 320m</t>
  </si>
  <si>
    <t>Chạy canon</t>
  </si>
  <si>
    <t>Nhập lại hàng bê ngoài sx vào bị méo lõi và bung</t>
  </si>
  <si>
    <t>Nhập lại cuộn 608,4 còn tồn và 134,3 kg trả lại jp do nhăn</t>
  </si>
  <si>
    <t>Lõi 87 k 2860</t>
  </si>
  <si>
    <t>Chạy hàng 320/86</t>
  </si>
  <si>
    <t>22 quả</t>
  </si>
  <si>
    <t>Nhập lại phôi do chạy k đạt đường kính</t>
  </si>
  <si>
    <t>Nhập lại 557kg hàng xuất ra chạy k đạt đường kính</t>
  </si>
  <si>
    <t>23/04/2025</t>
  </si>
  <si>
    <t>Do cấn trừ phôi</t>
  </si>
  <si>
    <t>Do cấn trừ phôi ( 7kg)</t>
  </si>
  <si>
    <t>x</t>
  </si>
  <si>
    <t xml:space="preserve"> Trên phiếu giao hàng ghi là 18,362,8 kg là họ đối trừ :100,2kg hàng bị nhăn </t>
  </si>
  <si>
    <t>Nhập lại vỏ thùng hàng lỗi lọc ra</t>
  </si>
  <si>
    <t>Do khi nhập lại tịnh  cân sai</t>
  </si>
  <si>
    <t>Xuất sang kho giấy ĐA</t>
  </si>
  <si>
    <t>Xuất cả hàng cất</t>
  </si>
  <si>
    <t>Cả hàng cất +260 cuôn ngày 18/06</t>
  </si>
  <si>
    <t>Màng poe 15*420 cf</t>
  </si>
  <si>
    <t>30 cuộn</t>
  </si>
  <si>
    <t>cất tạm 7 vỏ thùng</t>
  </si>
  <si>
    <t>cất tạm 1 vỏ thùng</t>
  </si>
  <si>
    <t>Xuất trả jp lõi lỗi</t>
  </si>
  <si>
    <t>Xuất trả jp</t>
  </si>
  <si>
    <t>cất tạm 3 +26 vỏ thùng</t>
  </si>
  <si>
    <t>Cất tạm 10 vỏ thùng</t>
  </si>
  <si>
    <t>Xuất phôi trả jp</t>
  </si>
  <si>
    <t>Xuât hàng trả jp</t>
  </si>
  <si>
    <t>Xuất 100,2 kg hàng đối trừ phôi</t>
  </si>
  <si>
    <t xml:space="preserve"> </t>
  </si>
  <si>
    <t>Xuất trả nhà cung cấp 7 ống bị lỗi</t>
  </si>
  <si>
    <t>Có 1 cây sx làm hỏng</t>
  </si>
  <si>
    <t>Cất tạm 9 c</t>
  </si>
  <si>
    <t>Cất tạm 8 c</t>
  </si>
  <si>
    <t>nhập lại cuộn bị thiếu khổ để trả về jp</t>
  </si>
  <si>
    <t>Cất tạm 7 vỏ</t>
  </si>
  <si>
    <t>Cất tạm 6 vỏ</t>
  </si>
  <si>
    <t>Cất tạm 12 vỏ</t>
  </si>
  <si>
    <t>cất tạm 5 vỏ thùng</t>
  </si>
  <si>
    <t>Đã xuất tp bù vào</t>
  </si>
  <si>
    <t>Cất tạm 6 vỏ thùng</t>
  </si>
  <si>
    <t>Cất tạm 2 vỏ thùng</t>
  </si>
  <si>
    <t>Cất tạm 8 vỏ thùng</t>
  </si>
  <si>
    <t>Cất tạm 9 vỏ thùng</t>
  </si>
  <si>
    <t>Cất tạm 4 vỏ thùng</t>
  </si>
  <si>
    <t>Cất tạm 13 vỏ thùng</t>
  </si>
  <si>
    <t>Cất tạm 11 vỏ thùng</t>
  </si>
  <si>
    <t>16 cuộn</t>
  </si>
  <si>
    <t>Xuât thêm cho đủ hàng nhập TP và 7 thùng 320/76</t>
  </si>
  <si>
    <t>Xuất sang điều chỉnh</t>
  </si>
  <si>
    <t>Gắp 2 cuộn '00284846 &amp;'00284353 (1099+971) chạy hàng cty</t>
  </si>
  <si>
    <t>CC</t>
  </si>
  <si>
    <t>s</t>
  </si>
  <si>
    <t>09/1082025</t>
  </si>
  <si>
    <t>Tên NVL (Tên sheet)</t>
  </si>
  <si>
    <t>Ðon vo tính (cot D)</t>
  </si>
  <si>
    <t>So luong ton (cot G)</t>
  </si>
  <si>
    <t>Lõi 76</t>
  </si>
  <si>
    <t>Lõi 80</t>
  </si>
  <si>
    <t>Phôi JP GC DL 15 2L</t>
  </si>
  <si>
    <t>Phôi JP GC DL 15,5 2 L</t>
  </si>
  <si>
    <t>Phôi JP GC DL 18 2L (700g)</t>
  </si>
  <si>
    <t>Phôi JP GC DL 18 1L (700g)</t>
  </si>
  <si>
    <t>Phôi JP GC DL 18 2L (160m)</t>
  </si>
  <si>
    <t>Phôi JP GC DL 18 2L (600g)</t>
  </si>
  <si>
    <t>Phôi JP GC DL 16 2L (180m)</t>
  </si>
  <si>
    <t>Phôi JP GC DL 18 1L (600g)</t>
  </si>
  <si>
    <t>Phôi JP GC DL 18.5 2L (700g)</t>
  </si>
  <si>
    <t>Lõi 86</t>
  </si>
  <si>
    <t xml:space="preserve">Bao trắng 600g/bb, 80 </t>
  </si>
  <si>
    <t xml:space="preserve">Bao trắng 320 MC </t>
  </si>
  <si>
    <t>Bao 320 M, 76 MTL</t>
  </si>
  <si>
    <t>Bao trắng 4, 320 M, 76 MTL</t>
  </si>
  <si>
    <t>THÙNG OTAKAMI320, 76</t>
  </si>
  <si>
    <t xml:space="preserve">THÙNG OTAKAMI180, 80  </t>
  </si>
  <si>
    <t>Thùng otakami 700, 80</t>
  </si>
  <si>
    <t xml:space="preserve">Thùng otakami 700, 76 </t>
  </si>
  <si>
    <t>Thùng otakami 160, 80</t>
  </si>
  <si>
    <t>THÙNG OTAKMI320, 80</t>
  </si>
  <si>
    <t>màng co 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</si>
</sst>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mm/dd/yyyy"/>
    <numFmt numFmtId="167" formatCode="_-* #,##0.00\ _₫_-;\-* #,##0.00\ _₫_-;_-* &quot;-&quot;??\ _₫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i/>
      <sz val="10"/>
      <color indexed="8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i/>
      <sz val="12"/>
      <color indexed="10"/>
      <name val="Times New Roman"/>
      <family val="1"/>
    </font>
    <font>
      <b/>
      <sz val="20"/>
      <name val="Times New Roman"/>
      <family val="1"/>
    </font>
    <font>
      <b/>
      <sz val="12"/>
      <color indexed="8"/>
      <name val="Times New Roman"/>
      <family val="1"/>
    </font>
    <font>
      <sz val="12"/>
      <color rgb="FFFF0000"/>
      <name val="Times New Roman"/>
      <family val="1"/>
    </font>
    <font>
      <sz val="12"/>
      <color indexed="10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4" tint="-0.249977111117893"/>
      <name val="Arial"/>
      <family val="2"/>
    </font>
    <font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5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4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164" fontId="3" fillId="3" borderId="1" xfId="1" applyNumberFormat="1" applyFont="1" applyFill="1" applyBorder="1" applyAlignment="1">
      <alignment horizontal="right"/>
    </xf>
    <xf numFmtId="165" fontId="3" fillId="0" borderId="2" xfId="1" applyNumberFormat="1" applyFont="1" applyBorder="1"/>
    <xf numFmtId="165" fontId="0" fillId="0" borderId="1" xfId="1" applyNumberFormat="1" applyFont="1" applyBorder="1"/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165" fontId="5" fillId="3" borderId="1" xfId="1" applyNumberFormat="1" applyFont="1" applyFill="1" applyBorder="1" applyAlignment="1">
      <alignment horizontal="right"/>
    </xf>
    <xf numFmtId="165" fontId="6" fillId="0" borderId="2" xfId="1" applyNumberFormat="1" applyFont="1" applyBorder="1"/>
    <xf numFmtId="165" fontId="2" fillId="0" borderId="1" xfId="1" applyNumberFormat="1" applyFont="1" applyBorder="1"/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left"/>
    </xf>
    <xf numFmtId="0" fontId="7" fillId="3" borderId="1" xfId="0" applyFont="1" applyFill="1" applyBorder="1" applyAlignment="1">
      <alignment horizontal="center" vertical="top"/>
    </xf>
    <xf numFmtId="165" fontId="7" fillId="3" borderId="1" xfId="1" applyNumberFormat="1" applyFont="1" applyFill="1" applyBorder="1" applyAlignment="1">
      <alignment horizontal="right"/>
    </xf>
    <xf numFmtId="165" fontId="7" fillId="0" borderId="2" xfId="1" applyNumberFormat="1" applyFont="1" applyBorder="1"/>
    <xf numFmtId="165" fontId="8" fillId="0" borderId="1" xfId="1" applyNumberFormat="1" applyFont="1" applyBorder="1"/>
    <xf numFmtId="0" fontId="7" fillId="0" borderId="0" xfId="0" applyFont="1"/>
    <xf numFmtId="165" fontId="0" fillId="0" borderId="0" xfId="0" applyNumberFormat="1"/>
    <xf numFmtId="165" fontId="5" fillId="0" borderId="2" xfId="1" applyNumberFormat="1" applyFont="1" applyBorder="1"/>
    <xf numFmtId="165" fontId="3" fillId="0" borderId="1" xfId="1" applyNumberFormat="1" applyFont="1" applyBorder="1"/>
    <xf numFmtId="0" fontId="3" fillId="0" borderId="1" xfId="0" applyFont="1" applyBorder="1"/>
    <xf numFmtId="165" fontId="3" fillId="3" borderId="1" xfId="1" applyNumberFormat="1" applyFont="1" applyFill="1" applyBorder="1" applyAlignment="1">
      <alignment horizontal="right"/>
    </xf>
    <xf numFmtId="165" fontId="5" fillId="4" borderId="2" xfId="1" applyNumberFormat="1" applyFont="1" applyFill="1" applyBorder="1"/>
    <xf numFmtId="165" fontId="5" fillId="0" borderId="1" xfId="0" applyNumberFormat="1" applyFont="1" applyBorder="1"/>
    <xf numFmtId="14" fontId="0" fillId="0" borderId="1" xfId="0" applyNumberFormat="1" applyBorder="1"/>
    <xf numFmtId="0" fontId="2" fillId="0" borderId="1" xfId="0" applyFont="1" applyBorder="1" applyAlignment="1">
      <alignment horizontal="center"/>
    </xf>
    <xf numFmtId="165" fontId="2" fillId="5" borderId="1" xfId="0" applyNumberFormat="1" applyFont="1" applyFill="1" applyBorder="1"/>
    <xf numFmtId="164" fontId="2" fillId="5" borderId="1" xfId="0" applyNumberFormat="1" applyFont="1" applyFill="1" applyBorder="1"/>
    <xf numFmtId="166" fontId="0" fillId="0" borderId="1" xfId="0" applyNumberFormat="1" applyBorder="1" applyAlignment="1">
      <alignment horizontal="left"/>
    </xf>
    <xf numFmtId="165" fontId="3" fillId="0" borderId="1" xfId="0" applyNumberFormat="1" applyFont="1" applyBorder="1"/>
    <xf numFmtId="14" fontId="0" fillId="0" borderId="1" xfId="0" applyNumberFormat="1" applyBorder="1" applyAlignment="1">
      <alignment horizontal="center"/>
    </xf>
    <xf numFmtId="165" fontId="9" fillId="0" borderId="2" xfId="1" applyNumberFormat="1" applyFont="1" applyBorder="1"/>
    <xf numFmtId="14" fontId="3" fillId="3" borderId="1" xfId="0" applyNumberFormat="1" applyFont="1" applyFill="1" applyBorder="1" applyAlignment="1">
      <alignment horizontal="center"/>
    </xf>
    <xf numFmtId="14" fontId="3" fillId="0" borderId="1" xfId="0" quotePrefix="1" applyNumberFormat="1" applyFont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14" fontId="0" fillId="0" borderId="1" xfId="0" quotePrefix="1" applyNumberFormat="1" applyBorder="1" applyAlignment="1">
      <alignment horizontal="left"/>
    </xf>
    <xf numFmtId="14" fontId="3" fillId="0" borderId="1" xfId="0" quotePrefix="1" applyNumberFormat="1" applyFont="1" applyBorder="1" applyAlignment="1">
      <alignment horizontal="left"/>
    </xf>
    <xf numFmtId="0" fontId="5" fillId="3" borderId="1" xfId="0" applyFont="1" applyFill="1" applyBorder="1" applyAlignment="1">
      <alignment horizontal="left" vertical="top"/>
    </xf>
    <xf numFmtId="165" fontId="2" fillId="3" borderId="1" xfId="1" applyNumberFormat="1" applyFont="1" applyFill="1" applyBorder="1"/>
    <xf numFmtId="0" fontId="3" fillId="0" borderId="0" xfId="0" applyFont="1"/>
    <xf numFmtId="165" fontId="3" fillId="3" borderId="1" xfId="1" applyNumberFormat="1" applyFont="1" applyFill="1" applyBorder="1"/>
    <xf numFmtId="165" fontId="3" fillId="5" borderId="1" xfId="0" applyNumberFormat="1" applyFont="1" applyFill="1" applyBorder="1"/>
    <xf numFmtId="165" fontId="1" fillId="0" borderId="1" xfId="1" applyNumberFormat="1" applyBorder="1"/>
    <xf numFmtId="165" fontId="5" fillId="6" borderId="2" xfId="1" applyNumberFormat="1" applyFont="1" applyFill="1" applyBorder="1"/>
    <xf numFmtId="165" fontId="6" fillId="6" borderId="2" xfId="1" applyNumberFormat="1" applyFont="1" applyFill="1" applyBorder="1"/>
    <xf numFmtId="165" fontId="5" fillId="6" borderId="1" xfId="1" applyNumberFormat="1" applyFont="1" applyFill="1" applyBorder="1" applyAlignment="1">
      <alignment horizontal="right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0" fontId="10" fillId="0" borderId="1" xfId="0" applyFont="1" applyBorder="1"/>
    <xf numFmtId="14" fontId="10" fillId="0" borderId="1" xfId="0" applyNumberFormat="1" applyFont="1" applyBorder="1" applyAlignment="1">
      <alignment horizontal="left"/>
    </xf>
    <xf numFmtId="0" fontId="12" fillId="3" borderId="1" xfId="0" applyFont="1" applyFill="1" applyBorder="1" applyAlignment="1">
      <alignment horizontal="center" vertical="top"/>
    </xf>
    <xf numFmtId="0" fontId="13" fillId="3" borderId="1" xfId="0" applyFont="1" applyFill="1" applyBorder="1" applyAlignment="1">
      <alignment horizontal="center" vertical="top"/>
    </xf>
    <xf numFmtId="164" fontId="10" fillId="3" borderId="1" xfId="1" applyNumberFormat="1" applyFont="1" applyFill="1" applyBorder="1" applyAlignment="1">
      <alignment horizontal="right"/>
    </xf>
    <xf numFmtId="165" fontId="10" fillId="0" borderId="2" xfId="1" applyNumberFormat="1" applyFont="1" applyBorder="1"/>
    <xf numFmtId="165" fontId="10" fillId="0" borderId="1" xfId="1" applyNumberFormat="1" applyFont="1" applyBorder="1"/>
    <xf numFmtId="0" fontId="10" fillId="0" borderId="1" xfId="0" applyFont="1" applyBorder="1" applyAlignment="1">
      <alignment horizontal="center"/>
    </xf>
    <xf numFmtId="0" fontId="10" fillId="3" borderId="1" xfId="0" applyFont="1" applyFill="1" applyBorder="1" applyAlignment="1" applyProtection="1">
      <alignment vertical="center"/>
      <protection locked="0"/>
    </xf>
    <xf numFmtId="165" fontId="13" fillId="3" borderId="1" xfId="1" applyNumberFormat="1" applyFont="1" applyFill="1" applyBorder="1" applyAlignment="1">
      <alignment horizontal="right"/>
    </xf>
    <xf numFmtId="165" fontId="13" fillId="0" borderId="2" xfId="1" applyNumberFormat="1" applyFont="1" applyBorder="1"/>
    <xf numFmtId="165" fontId="11" fillId="0" borderId="1" xfId="1" applyNumberFormat="1" applyFont="1" applyBorder="1"/>
    <xf numFmtId="14" fontId="10" fillId="3" borderId="1" xfId="0" applyNumberFormat="1" applyFont="1" applyFill="1" applyBorder="1" applyAlignment="1">
      <alignment horizontal="left"/>
    </xf>
    <xf numFmtId="165" fontId="11" fillId="0" borderId="1" xfId="1" applyNumberFormat="1" applyFont="1" applyBorder="1" applyAlignment="1">
      <alignment horizontal="center"/>
    </xf>
    <xf numFmtId="165" fontId="10" fillId="0" borderId="0" xfId="0" applyNumberFormat="1" applyFont="1"/>
    <xf numFmtId="14" fontId="10" fillId="0" borderId="1" xfId="0" applyNumberFormat="1" applyFont="1" applyBorder="1"/>
    <xf numFmtId="165" fontId="10" fillId="0" borderId="1" xfId="0" applyNumberFormat="1" applyFont="1" applyBorder="1"/>
    <xf numFmtId="166" fontId="10" fillId="0" borderId="1" xfId="0" applyNumberFormat="1" applyFont="1" applyBorder="1" applyAlignment="1">
      <alignment horizontal="left"/>
    </xf>
    <xf numFmtId="0" fontId="10" fillId="3" borderId="1" xfId="0" applyFont="1" applyFill="1" applyBorder="1"/>
    <xf numFmtId="0" fontId="11" fillId="0" borderId="1" xfId="0" applyFont="1" applyBorder="1" applyAlignment="1">
      <alignment horizontal="center"/>
    </xf>
    <xf numFmtId="165" fontId="11" fillId="5" borderId="1" xfId="0" applyNumberFormat="1" applyFont="1" applyFill="1" applyBorder="1"/>
    <xf numFmtId="164" fontId="11" fillId="5" borderId="1" xfId="0" applyNumberFormat="1" applyFont="1" applyFill="1" applyBorder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/>
    <xf numFmtId="14" fontId="11" fillId="0" borderId="1" xfId="0" applyNumberFormat="1" applyFont="1" applyBorder="1" applyAlignment="1">
      <alignment horizontal="left"/>
    </xf>
    <xf numFmtId="0" fontId="16" fillId="3" borderId="1" xfId="0" applyFont="1" applyFill="1" applyBorder="1" applyAlignment="1">
      <alignment horizontal="left" vertical="top"/>
    </xf>
    <xf numFmtId="164" fontId="11" fillId="3" borderId="1" xfId="1" applyNumberFormat="1" applyFont="1" applyFill="1" applyBorder="1" applyAlignment="1">
      <alignment horizontal="right"/>
    </xf>
    <xf numFmtId="165" fontId="11" fillId="3" borderId="1" xfId="1" applyNumberFormat="1" applyFont="1" applyFill="1" applyBorder="1" applyAlignment="1">
      <alignment horizontal="right"/>
    </xf>
    <xf numFmtId="164" fontId="11" fillId="3" borderId="1" xfId="1" applyNumberFormat="1" applyFont="1" applyFill="1" applyBorder="1" applyAlignment="1">
      <alignment horizontal="left"/>
    </xf>
    <xf numFmtId="165" fontId="11" fillId="0" borderId="1" xfId="1" applyNumberFormat="1" applyFont="1" applyBorder="1" applyAlignment="1">
      <alignment horizontal="left"/>
    </xf>
    <xf numFmtId="0" fontId="11" fillId="0" borderId="0" xfId="0" applyFont="1"/>
    <xf numFmtId="165" fontId="10" fillId="3" borderId="1" xfId="1" applyNumberFormat="1" applyFont="1" applyFill="1" applyBorder="1" applyAlignment="1">
      <alignment horizontal="right"/>
    </xf>
    <xf numFmtId="165" fontId="10" fillId="3" borderId="1" xfId="1" applyNumberFormat="1" applyFont="1" applyFill="1" applyBorder="1" applyAlignment="1">
      <alignment horizontal="left"/>
    </xf>
    <xf numFmtId="164" fontId="17" fillId="3" borderId="1" xfId="1" applyNumberFormat="1" applyFont="1" applyFill="1" applyBorder="1" applyAlignment="1">
      <alignment horizontal="right"/>
    </xf>
    <xf numFmtId="14" fontId="10" fillId="0" borderId="1" xfId="0" quotePrefix="1" applyNumberFormat="1" applyFont="1" applyBorder="1" applyAlignment="1">
      <alignment horizontal="left"/>
    </xf>
    <xf numFmtId="165" fontId="10" fillId="0" borderId="1" xfId="1" applyNumberFormat="1" applyFont="1" applyBorder="1" applyAlignment="1">
      <alignment horizontal="left"/>
    </xf>
    <xf numFmtId="0" fontId="10" fillId="4" borderId="1" xfId="0" applyFont="1" applyFill="1" applyBorder="1"/>
    <xf numFmtId="14" fontId="10" fillId="4" borderId="1" xfId="0" applyNumberFormat="1" applyFont="1" applyFill="1" applyBorder="1" applyAlignment="1">
      <alignment horizontal="left"/>
    </xf>
    <xf numFmtId="0" fontId="10" fillId="4" borderId="0" xfId="0" applyFont="1" applyFill="1"/>
    <xf numFmtId="164" fontId="18" fillId="3" borderId="1" xfId="1" applyNumberFormat="1" applyFont="1" applyFill="1" applyBorder="1" applyAlignment="1">
      <alignment horizontal="right"/>
    </xf>
    <xf numFmtId="43" fontId="10" fillId="3" borderId="1" xfId="1" applyFont="1" applyFill="1" applyBorder="1" applyAlignment="1">
      <alignment horizontal="left"/>
    </xf>
    <xf numFmtId="0" fontId="13" fillId="3" borderId="1" xfId="0" applyFont="1" applyFill="1" applyBorder="1" applyAlignment="1">
      <alignment horizontal="left" vertical="top"/>
    </xf>
    <xf numFmtId="43" fontId="11" fillId="3" borderId="1" xfId="1" applyFont="1" applyFill="1" applyBorder="1" applyAlignment="1">
      <alignment horizontal="left"/>
    </xf>
    <xf numFmtId="43" fontId="11" fillId="0" borderId="1" xfId="1" applyFont="1" applyBorder="1" applyAlignment="1">
      <alignment horizontal="left"/>
    </xf>
    <xf numFmtId="43" fontId="11" fillId="5" borderId="1" xfId="1" applyFont="1" applyFill="1" applyBorder="1" applyAlignment="1">
      <alignment horizontal="left"/>
    </xf>
    <xf numFmtId="164" fontId="11" fillId="5" borderId="1" xfId="0" applyNumberFormat="1" applyFon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left"/>
    </xf>
    <xf numFmtId="165" fontId="5" fillId="4" borderId="1" xfId="0" applyNumberFormat="1" applyFont="1" applyFill="1" applyBorder="1"/>
    <xf numFmtId="14" fontId="3" fillId="3" borderId="1" xfId="0" quotePrefix="1" applyNumberFormat="1" applyFont="1" applyFill="1" applyBorder="1" applyAlignment="1">
      <alignment horizontal="center"/>
    </xf>
    <xf numFmtId="165" fontId="2" fillId="4" borderId="1" xfId="1" applyNumberFormat="1" applyFont="1" applyFill="1" applyBorder="1"/>
    <xf numFmtId="165" fontId="10" fillId="0" borderId="0" xfId="1" applyNumberFormat="1" applyFont="1"/>
    <xf numFmtId="165" fontId="10" fillId="0" borderId="1" xfId="1" applyNumberFormat="1" applyFont="1" applyBorder="1" applyAlignment="1">
      <alignment horizontal="center" wrapText="1"/>
    </xf>
    <xf numFmtId="164" fontId="10" fillId="0" borderId="0" xfId="0" applyNumberFormat="1" applyFont="1"/>
    <xf numFmtId="164" fontId="10" fillId="0" borderId="1" xfId="0" applyNumberFormat="1" applyFont="1" applyBorder="1" applyAlignment="1">
      <alignment horizontal="center" wrapText="1"/>
    </xf>
    <xf numFmtId="164" fontId="17" fillId="4" borderId="1" xfId="1" applyNumberFormat="1" applyFont="1" applyFill="1" applyBorder="1" applyAlignment="1">
      <alignment horizontal="right"/>
    </xf>
    <xf numFmtId="164" fontId="18" fillId="3" borderId="2" xfId="1" applyNumberFormat="1" applyFont="1" applyFill="1" applyBorder="1" applyAlignment="1">
      <alignment horizontal="right"/>
    </xf>
    <xf numFmtId="164" fontId="13" fillId="0" borderId="2" xfId="1" applyNumberFormat="1" applyFont="1" applyBorder="1"/>
    <xf numFmtId="164" fontId="10" fillId="0" borderId="2" xfId="1" applyNumberFormat="1" applyFont="1" applyBorder="1"/>
    <xf numFmtId="164" fontId="11" fillId="5" borderId="1" xfId="1" applyNumberFormat="1" applyFont="1" applyFill="1" applyBorder="1"/>
    <xf numFmtId="164" fontId="10" fillId="0" borderId="0" xfId="1" applyNumberFormat="1" applyFont="1"/>
    <xf numFmtId="164" fontId="10" fillId="0" borderId="1" xfId="1" applyNumberFormat="1" applyFont="1" applyBorder="1" applyAlignment="1">
      <alignment horizontal="center" wrapText="1"/>
    </xf>
    <xf numFmtId="164" fontId="10" fillId="4" borderId="1" xfId="1" applyNumberFormat="1" applyFont="1" applyFill="1" applyBorder="1" applyAlignment="1">
      <alignment horizontal="right"/>
    </xf>
    <xf numFmtId="164" fontId="13" fillId="0" borderId="1" xfId="1" applyNumberFormat="1" applyFont="1" applyBorder="1"/>
    <xf numFmtId="164" fontId="10" fillId="0" borderId="1" xfId="1" applyNumberFormat="1" applyFont="1" applyBorder="1"/>
    <xf numFmtId="0" fontId="19" fillId="0" borderId="1" xfId="0" applyFont="1" applyBorder="1"/>
    <xf numFmtId="14" fontId="19" fillId="0" borderId="1" xfId="0" applyNumberFormat="1" applyFont="1" applyBorder="1" applyAlignment="1">
      <alignment horizontal="left"/>
    </xf>
    <xf numFmtId="0" fontId="19" fillId="3" borderId="1" xfId="0" applyFont="1" applyFill="1" applyBorder="1" applyAlignment="1">
      <alignment horizontal="center" vertical="top"/>
    </xf>
    <xf numFmtId="164" fontId="19" fillId="3" borderId="1" xfId="1" applyNumberFormat="1" applyFont="1" applyFill="1" applyBorder="1" applyAlignment="1">
      <alignment horizontal="right"/>
    </xf>
    <xf numFmtId="164" fontId="19" fillId="3" borderId="2" xfId="1" applyNumberFormat="1" applyFont="1" applyFill="1" applyBorder="1" applyAlignment="1">
      <alignment horizontal="right"/>
    </xf>
    <xf numFmtId="165" fontId="19" fillId="3" borderId="1" xfId="1" applyNumberFormat="1" applyFont="1" applyFill="1" applyBorder="1" applyAlignment="1">
      <alignment horizontal="left"/>
    </xf>
    <xf numFmtId="0" fontId="19" fillId="0" borderId="0" xfId="0" applyFont="1"/>
    <xf numFmtId="165" fontId="11" fillId="5" borderId="1" xfId="1" applyNumberFormat="1" applyFont="1" applyFill="1" applyBorder="1"/>
    <xf numFmtId="0" fontId="11" fillId="0" borderId="0" xfId="0" applyFont="1" applyAlignment="1">
      <alignment horizontal="center"/>
    </xf>
    <xf numFmtId="0" fontId="19" fillId="2" borderId="1" xfId="0" applyFont="1" applyFill="1" applyBorder="1" applyAlignment="1">
      <alignment horizontal="center"/>
    </xf>
    <xf numFmtId="165" fontId="19" fillId="0" borderId="0" xfId="1" applyNumberFormat="1" applyFont="1"/>
    <xf numFmtId="165" fontId="11" fillId="0" borderId="0" xfId="1" applyNumberFormat="1" applyFont="1" applyAlignment="1">
      <alignment horizontal="center"/>
    </xf>
    <xf numFmtId="0" fontId="19" fillId="2" borderId="1" xfId="0" applyFont="1" applyFill="1" applyBorder="1" applyAlignment="1">
      <alignment horizontal="center" wrapText="1"/>
    </xf>
    <xf numFmtId="165" fontId="19" fillId="2" borderId="1" xfId="1" applyNumberFormat="1" applyFont="1" applyFill="1" applyBorder="1" applyAlignment="1">
      <alignment horizontal="center" wrapText="1"/>
    </xf>
    <xf numFmtId="165" fontId="13" fillId="3" borderId="1" xfId="1" applyNumberFormat="1" applyFont="1" applyFill="1" applyBorder="1" applyAlignment="1">
      <alignment horizontal="center" vertical="top"/>
    </xf>
    <xf numFmtId="165" fontId="19" fillId="0" borderId="1" xfId="1" applyNumberFormat="1" applyFont="1" applyBorder="1"/>
    <xf numFmtId="0" fontId="19" fillId="0" borderId="1" xfId="0" applyFont="1" applyBorder="1" applyAlignment="1">
      <alignment horizontal="center"/>
    </xf>
    <xf numFmtId="165" fontId="17" fillId="0" borderId="2" xfId="1" applyNumberFormat="1" applyFont="1" applyBorder="1"/>
    <xf numFmtId="165" fontId="19" fillId="3" borderId="1" xfId="1" applyNumberFormat="1" applyFont="1" applyFill="1" applyBorder="1" applyAlignment="1">
      <alignment horizontal="center" vertical="top"/>
    </xf>
    <xf numFmtId="165" fontId="19" fillId="3" borderId="1" xfId="1" applyNumberFormat="1" applyFont="1" applyFill="1" applyBorder="1" applyAlignment="1">
      <alignment horizontal="right"/>
    </xf>
    <xf numFmtId="165" fontId="19" fillId="0" borderId="2" xfId="1" applyNumberFormat="1" applyFont="1" applyBorder="1"/>
    <xf numFmtId="165" fontId="19" fillId="0" borderId="0" xfId="0" applyNumberFormat="1" applyFont="1"/>
    <xf numFmtId="0" fontId="19" fillId="7" borderId="1" xfId="0" applyFont="1" applyFill="1" applyBorder="1"/>
    <xf numFmtId="0" fontId="11" fillId="7" borderId="1" xfId="0" applyFont="1" applyFill="1" applyBorder="1" applyAlignment="1">
      <alignment horizontal="center"/>
    </xf>
    <xf numFmtId="165" fontId="19" fillId="7" borderId="1" xfId="1" applyNumberFormat="1" applyFont="1" applyFill="1" applyBorder="1"/>
    <xf numFmtId="165" fontId="11" fillId="7" borderId="1" xfId="0" applyNumberFormat="1" applyFont="1" applyFill="1" applyBorder="1"/>
    <xf numFmtId="164" fontId="11" fillId="7" borderId="1" xfId="0" applyNumberFormat="1" applyFont="1" applyFill="1" applyBorder="1"/>
    <xf numFmtId="165" fontId="21" fillId="0" borderId="1" xfId="1" applyNumberFormat="1" applyFont="1" applyBorder="1"/>
    <xf numFmtId="0" fontId="10" fillId="4" borderId="1" xfId="0" applyFont="1" applyFill="1" applyBorder="1" applyAlignment="1" applyProtection="1">
      <alignment vertical="center"/>
      <protection locked="0"/>
    </xf>
    <xf numFmtId="0" fontId="13" fillId="4" borderId="1" xfId="0" applyFont="1" applyFill="1" applyBorder="1" applyAlignment="1">
      <alignment horizontal="center" vertical="top"/>
    </xf>
    <xf numFmtId="165" fontId="10" fillId="4" borderId="1" xfId="1" applyNumberFormat="1" applyFont="1" applyFill="1" applyBorder="1" applyAlignment="1">
      <alignment horizontal="right"/>
    </xf>
    <xf numFmtId="165" fontId="10" fillId="4" borderId="1" xfId="1" applyNumberFormat="1" applyFont="1" applyFill="1" applyBorder="1" applyAlignment="1">
      <alignment horizontal="left"/>
    </xf>
    <xf numFmtId="165" fontId="17" fillId="4" borderId="1" xfId="1" applyNumberFormat="1" applyFont="1" applyFill="1" applyBorder="1" applyAlignment="1">
      <alignment horizontal="left"/>
    </xf>
    <xf numFmtId="14" fontId="0" fillId="4" borderId="1" xfId="0" quotePrefix="1" applyNumberFormat="1" applyFill="1" applyBorder="1" applyAlignment="1">
      <alignment horizontal="left"/>
    </xf>
    <xf numFmtId="0" fontId="5" fillId="4" borderId="1" xfId="0" applyFont="1" applyFill="1" applyBorder="1" applyAlignment="1">
      <alignment horizontal="center" vertical="top"/>
    </xf>
    <xf numFmtId="43" fontId="10" fillId="4" borderId="1" xfId="1" applyFont="1" applyFill="1" applyBorder="1" applyAlignment="1">
      <alignment horizontal="right"/>
    </xf>
    <xf numFmtId="165" fontId="10" fillId="2" borderId="1" xfId="1" applyNumberFormat="1" applyFont="1" applyFill="1" applyBorder="1" applyAlignment="1">
      <alignment horizontal="center" wrapText="1"/>
    </xf>
    <xf numFmtId="165" fontId="11" fillId="7" borderId="1" xfId="1" applyNumberFormat="1" applyFont="1" applyFill="1" applyBorder="1"/>
    <xf numFmtId="0" fontId="19" fillId="4" borderId="1" xfId="0" applyFont="1" applyFill="1" applyBorder="1" applyAlignment="1">
      <alignment horizontal="center"/>
    </xf>
    <xf numFmtId="165" fontId="13" fillId="4" borderId="1" xfId="1" applyNumberFormat="1" applyFont="1" applyFill="1" applyBorder="1" applyAlignment="1">
      <alignment horizontal="center" vertical="top"/>
    </xf>
    <xf numFmtId="165" fontId="13" fillId="4" borderId="1" xfId="1" applyNumberFormat="1" applyFont="1" applyFill="1" applyBorder="1" applyAlignment="1">
      <alignment horizontal="right"/>
    </xf>
    <xf numFmtId="165" fontId="13" fillId="4" borderId="2" xfId="1" applyNumberFormat="1" applyFont="1" applyFill="1" applyBorder="1"/>
    <xf numFmtId="165" fontId="11" fillId="4" borderId="1" xfId="1" applyNumberFormat="1" applyFont="1" applyFill="1" applyBorder="1"/>
    <xf numFmtId="0" fontId="19" fillId="4" borderId="1" xfId="0" applyFont="1" applyFill="1" applyBorder="1"/>
    <xf numFmtId="165" fontId="19" fillId="4" borderId="0" xfId="0" applyNumberFormat="1" applyFont="1" applyFill="1"/>
    <xf numFmtId="0" fontId="19" fillId="4" borderId="0" xfId="0" applyFont="1" applyFill="1"/>
    <xf numFmtId="0" fontId="3" fillId="4" borderId="1" xfId="0" applyFont="1" applyFill="1" applyBorder="1"/>
    <xf numFmtId="165" fontId="19" fillId="4" borderId="1" xfId="0" applyNumberFormat="1" applyFont="1" applyFill="1" applyBorder="1"/>
    <xf numFmtId="165" fontId="5" fillId="4" borderId="1" xfId="1" applyNumberFormat="1" applyFont="1" applyFill="1" applyBorder="1" applyAlignment="1">
      <alignment horizontal="right"/>
    </xf>
    <xf numFmtId="0" fontId="0" fillId="4" borderId="1" xfId="0" applyFill="1" applyBorder="1"/>
    <xf numFmtId="0" fontId="6" fillId="4" borderId="1" xfId="0" applyFont="1" applyFill="1" applyBorder="1"/>
    <xf numFmtId="14" fontId="10" fillId="0" borderId="0" xfId="0" applyNumberFormat="1" applyFont="1"/>
    <xf numFmtId="165" fontId="19" fillId="4" borderId="0" xfId="0" applyNumberFormat="1" applyFont="1" applyFill="1" applyAlignment="1">
      <alignment horizontal="left" vertical="center"/>
    </xf>
    <xf numFmtId="165" fontId="19" fillId="4" borderId="0" xfId="0" applyNumberFormat="1" applyFont="1" applyFill="1" applyAlignment="1">
      <alignment vertical="center"/>
    </xf>
    <xf numFmtId="0" fontId="19" fillId="4" borderId="0" xfId="0" applyFont="1" applyFill="1" applyAlignment="1">
      <alignment vertical="center"/>
    </xf>
    <xf numFmtId="165" fontId="6" fillId="4" borderId="2" xfId="1" applyNumberFormat="1" applyFont="1" applyFill="1" applyBorder="1"/>
    <xf numFmtId="0" fontId="0" fillId="4" borderId="0" xfId="0" applyFill="1"/>
    <xf numFmtId="165" fontId="3" fillId="4" borderId="1" xfId="1" applyNumberFormat="1" applyFont="1" applyFill="1" applyBorder="1" applyAlignment="1">
      <alignment horizontal="right"/>
    </xf>
    <xf numFmtId="165" fontId="0" fillId="4" borderId="0" xfId="0" applyNumberFormat="1" applyFill="1"/>
    <xf numFmtId="165" fontId="22" fillId="0" borderId="2" xfId="1" applyNumberFormat="1" applyFont="1" applyBorder="1"/>
    <xf numFmtId="165" fontId="6" fillId="4" borderId="1" xfId="1" applyNumberFormat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/>
    </xf>
    <xf numFmtId="14" fontId="23" fillId="4" borderId="1" xfId="0" applyNumberFormat="1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top"/>
    </xf>
    <xf numFmtId="165" fontId="24" fillId="4" borderId="1" xfId="1" applyNumberFormat="1" applyFont="1" applyFill="1" applyBorder="1"/>
    <xf numFmtId="0" fontId="23" fillId="4" borderId="1" xfId="0" applyFont="1" applyFill="1" applyBorder="1"/>
    <xf numFmtId="0" fontId="10" fillId="4" borderId="1" xfId="0" applyFont="1" applyFill="1" applyBorder="1" applyAlignment="1">
      <alignment horizontal="center"/>
    </xf>
    <xf numFmtId="165" fontId="10" fillId="4" borderId="1" xfId="1" applyNumberFormat="1" applyFont="1" applyFill="1" applyBorder="1"/>
    <xf numFmtId="165" fontId="14" fillId="4" borderId="1" xfId="0" applyNumberFormat="1" applyFont="1" applyFill="1" applyBorder="1"/>
    <xf numFmtId="165" fontId="11" fillId="4" borderId="1" xfId="0" applyNumberFormat="1" applyFont="1" applyFill="1" applyBorder="1"/>
    <xf numFmtId="164" fontId="11" fillId="4" borderId="1" xfId="0" applyNumberFormat="1" applyFont="1" applyFill="1" applyBorder="1"/>
    <xf numFmtId="165" fontId="10" fillId="4" borderId="2" xfId="1" applyNumberFormat="1" applyFont="1" applyFill="1" applyBorder="1"/>
    <xf numFmtId="165" fontId="10" fillId="4" borderId="1" xfId="0" applyNumberFormat="1" applyFont="1" applyFill="1" applyBorder="1"/>
    <xf numFmtId="165" fontId="3" fillId="4" borderId="1" xfId="1" applyNumberFormat="1" applyFont="1" applyFill="1" applyBorder="1"/>
    <xf numFmtId="14" fontId="3" fillId="4" borderId="1" xfId="0" quotePrefix="1" applyNumberFormat="1" applyFont="1" applyFill="1" applyBorder="1" applyAlignment="1">
      <alignment horizontal="left"/>
    </xf>
    <xf numFmtId="0" fontId="26" fillId="4" borderId="0" xfId="0" applyFont="1" applyFill="1"/>
    <xf numFmtId="0" fontId="24" fillId="0" borderId="0" xfId="0" applyFont="1"/>
    <xf numFmtId="165" fontId="26" fillId="4" borderId="0" xfId="0" applyNumberFormat="1" applyFont="1" applyFill="1"/>
    <xf numFmtId="165" fontId="2" fillId="6" borderId="1" xfId="1" applyNumberFormat="1" applyFont="1" applyFill="1" applyBorder="1"/>
    <xf numFmtId="165" fontId="3" fillId="4" borderId="1" xfId="0" applyNumberFormat="1" applyFont="1" applyFill="1" applyBorder="1"/>
    <xf numFmtId="14" fontId="0" fillId="6" borderId="1" xfId="0" applyNumberFormat="1" applyFill="1" applyBorder="1" applyAlignment="1">
      <alignment horizontal="left"/>
    </xf>
    <xf numFmtId="0" fontId="3" fillId="6" borderId="1" xfId="0" applyFont="1" applyFill="1" applyBorder="1"/>
    <xf numFmtId="0" fontId="5" fillId="6" borderId="1" xfId="0" applyFont="1" applyFill="1" applyBorder="1" applyAlignment="1">
      <alignment horizontal="center" vertical="top"/>
    </xf>
    <xf numFmtId="165" fontId="5" fillId="6" borderId="1" xfId="0" applyNumberFormat="1" applyFont="1" applyFill="1" applyBorder="1"/>
    <xf numFmtId="165" fontId="3" fillId="6" borderId="1" xfId="1" applyNumberFormat="1" applyFont="1" applyFill="1" applyBorder="1"/>
    <xf numFmtId="43" fontId="5" fillId="4" borderId="1" xfId="1" applyFont="1" applyFill="1" applyBorder="1" applyAlignment="1">
      <alignment horizontal="right"/>
    </xf>
    <xf numFmtId="14" fontId="10" fillId="6" borderId="1" xfId="0" applyNumberFormat="1" applyFont="1" applyFill="1" applyBorder="1" applyAlignment="1">
      <alignment horizontal="left"/>
    </xf>
    <xf numFmtId="0" fontId="10" fillId="6" borderId="1" xfId="0" applyFont="1" applyFill="1" applyBorder="1" applyAlignment="1" applyProtection="1">
      <alignment vertical="center"/>
      <protection locked="0"/>
    </xf>
    <xf numFmtId="0" fontId="13" fillId="6" borderId="1" xfId="0" applyFont="1" applyFill="1" applyBorder="1" applyAlignment="1">
      <alignment horizontal="center" vertical="top"/>
    </xf>
    <xf numFmtId="165" fontId="13" fillId="6" borderId="1" xfId="1" applyNumberFormat="1" applyFont="1" applyFill="1" applyBorder="1" applyAlignment="1">
      <alignment horizontal="right"/>
    </xf>
    <xf numFmtId="165" fontId="13" fillId="6" borderId="2" xfId="1" applyNumberFormat="1" applyFont="1" applyFill="1" applyBorder="1"/>
    <xf numFmtId="165" fontId="10" fillId="6" borderId="1" xfId="0" applyNumberFormat="1" applyFont="1" applyFill="1" applyBorder="1"/>
    <xf numFmtId="0" fontId="10" fillId="6" borderId="1" xfId="0" applyFont="1" applyFill="1" applyBorder="1"/>
    <xf numFmtId="0" fontId="10" fillId="6" borderId="0" xfId="0" applyFont="1" applyFill="1"/>
    <xf numFmtId="165" fontId="10" fillId="6" borderId="1" xfId="1" applyNumberFormat="1" applyFont="1" applyFill="1" applyBorder="1" applyAlignment="1">
      <alignment horizontal="right"/>
    </xf>
    <xf numFmtId="0" fontId="23" fillId="0" borderId="0" xfId="0" applyFont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167" fontId="0" fillId="0" borderId="0" xfId="0" applyNumberFormat="1"/>
    <xf numFmtId="0" fontId="25" fillId="6" borderId="0" xfId="0" applyFont="1" applyFill="1"/>
    <xf numFmtId="0" fontId="6" fillId="6" borderId="1" xfId="0" applyFont="1" applyFill="1" applyBorder="1"/>
    <xf numFmtId="0" fontId="26" fillId="6" borderId="0" xfId="0" applyFont="1" applyFill="1"/>
    <xf numFmtId="165" fontId="6" fillId="6" borderId="1" xfId="1" applyNumberFormat="1" applyFont="1" applyFill="1" applyBorder="1" applyAlignment="1">
      <alignment horizontal="right"/>
    </xf>
    <xf numFmtId="0" fontId="23" fillId="6" borderId="0" xfId="0" applyFont="1" applyFill="1"/>
    <xf numFmtId="165" fontId="3" fillId="6" borderId="1" xfId="1" applyNumberFormat="1" applyFont="1" applyFill="1" applyBorder="1" applyAlignment="1">
      <alignment horizontal="right"/>
    </xf>
    <xf numFmtId="165" fontId="0" fillId="6" borderId="0" xfId="0" applyNumberFormat="1" applyFill="1"/>
    <xf numFmtId="165" fontId="6" fillId="0" borderId="1" xfId="0" applyNumberFormat="1" applyFont="1" applyBorder="1"/>
    <xf numFmtId="165" fontId="6" fillId="0" borderId="1" xfId="1" applyNumberFormat="1" applyFont="1" applyBorder="1"/>
    <xf numFmtId="165" fontId="6" fillId="4" borderId="1" xfId="0" applyNumberFormat="1" applyFont="1" applyFill="1" applyBorder="1"/>
    <xf numFmtId="0" fontId="3" fillId="8" borderId="1" xfId="0" applyFont="1" applyFill="1" applyBorder="1"/>
    <xf numFmtId="165" fontId="5" fillId="8" borderId="2" xfId="1" applyNumberFormat="1" applyFont="1" applyFill="1" applyBorder="1"/>
    <xf numFmtId="165" fontId="2" fillId="8" borderId="1" xfId="1" applyNumberFormat="1" applyFont="1" applyFill="1" applyBorder="1"/>
    <xf numFmtId="165" fontId="3" fillId="8" borderId="1" xfId="1" applyNumberFormat="1" applyFont="1" applyFill="1" applyBorder="1"/>
    <xf numFmtId="0" fontId="0" fillId="8" borderId="0" xfId="0" applyFill="1"/>
    <xf numFmtId="0" fontId="0" fillId="9" borderId="1" xfId="0" applyFill="1" applyBorder="1" applyAlignment="1">
      <alignment horizontal="center"/>
    </xf>
    <xf numFmtId="14" fontId="0" fillId="9" borderId="1" xfId="0" applyNumberFormat="1" applyFill="1" applyBorder="1" applyAlignment="1">
      <alignment horizontal="left"/>
    </xf>
    <xf numFmtId="0" fontId="3" fillId="9" borderId="1" xfId="0" applyFont="1" applyFill="1" applyBorder="1"/>
    <xf numFmtId="0" fontId="5" fillId="9" borderId="1" xfId="0" applyFont="1" applyFill="1" applyBorder="1" applyAlignment="1">
      <alignment horizontal="center" vertical="top"/>
    </xf>
    <xf numFmtId="165" fontId="5" fillId="9" borderId="1" xfId="0" applyNumberFormat="1" applyFont="1" applyFill="1" applyBorder="1"/>
    <xf numFmtId="165" fontId="5" fillId="9" borderId="2" xfId="1" applyNumberFormat="1" applyFont="1" applyFill="1" applyBorder="1"/>
    <xf numFmtId="165" fontId="2" fillId="9" borderId="1" xfId="1" applyNumberFormat="1" applyFont="1" applyFill="1" applyBorder="1"/>
    <xf numFmtId="165" fontId="3" fillId="9" borderId="1" xfId="1" applyNumberFormat="1" applyFont="1" applyFill="1" applyBorder="1"/>
    <xf numFmtId="0" fontId="0" fillId="9" borderId="0" xfId="0" applyFill="1"/>
    <xf numFmtId="0" fontId="10" fillId="6" borderId="1" xfId="0" applyFont="1" applyFill="1" applyBorder="1" applyAlignment="1">
      <alignment horizontal="center"/>
    </xf>
    <xf numFmtId="165" fontId="11" fillId="6" borderId="1" xfId="1" applyNumberFormat="1" applyFont="1" applyFill="1" applyBorder="1"/>
    <xf numFmtId="165" fontId="10" fillId="6" borderId="1" xfId="1" applyNumberFormat="1" applyFont="1" applyFill="1" applyBorder="1"/>
    <xf numFmtId="165" fontId="14" fillId="6" borderId="1" xfId="0" applyNumberFormat="1" applyFont="1" applyFill="1" applyBorder="1"/>
    <xf numFmtId="165" fontId="11" fillId="6" borderId="1" xfId="0" applyNumberFormat="1" applyFont="1" applyFill="1" applyBorder="1"/>
    <xf numFmtId="164" fontId="11" fillId="6" borderId="1" xfId="0" applyNumberFormat="1" applyFont="1" applyFill="1" applyBorder="1"/>
    <xf numFmtId="164" fontId="10" fillId="6" borderId="1" xfId="1" applyNumberFormat="1" applyFont="1" applyFill="1" applyBorder="1" applyAlignment="1">
      <alignment horizontal="right"/>
    </xf>
    <xf numFmtId="165" fontId="10" fillId="6" borderId="2" xfId="1" applyNumberFormat="1" applyFont="1" applyFill="1" applyBorder="1"/>
    <xf numFmtId="43" fontId="3" fillId="3" borderId="1" xfId="1" applyFont="1" applyFill="1" applyBorder="1"/>
    <xf numFmtId="43" fontId="5" fillId="3" borderId="1" xfId="1" applyFont="1" applyFill="1" applyBorder="1" applyAlignment="1">
      <alignment horizontal="center" vertical="top"/>
    </xf>
    <xf numFmtId="43" fontId="5" fillId="0" borderId="1" xfId="1" applyFont="1" applyBorder="1"/>
    <xf numFmtId="43" fontId="2" fillId="0" borderId="1" xfId="1" applyFont="1" applyBorder="1"/>
    <xf numFmtId="43" fontId="3" fillId="0" borderId="1" xfId="1" applyFont="1" applyBorder="1"/>
    <xf numFmtId="43" fontId="0" fillId="0" borderId="0" xfId="1" applyFont="1"/>
    <xf numFmtId="164" fontId="2" fillId="0" borderId="1" xfId="1" applyNumberFormat="1" applyFont="1" applyBorder="1"/>
    <xf numFmtId="43" fontId="5" fillId="0" borderId="2" xfId="1" applyFont="1" applyBorder="1"/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left"/>
    </xf>
    <xf numFmtId="0" fontId="5" fillId="8" borderId="1" xfId="0" applyFont="1" applyFill="1" applyBorder="1" applyAlignment="1">
      <alignment horizontal="center" vertical="top"/>
    </xf>
    <xf numFmtId="165" fontId="5" fillId="8" borderId="1" xfId="0" applyNumberFormat="1" applyFont="1" applyFill="1" applyBorder="1"/>
    <xf numFmtId="165" fontId="6" fillId="4" borderId="1" xfId="1" applyNumberFormat="1" applyFont="1" applyFill="1" applyBorder="1"/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21" fillId="0" borderId="0" xfId="0" applyFont="1"/>
  </cellXfs>
  <cellStyles count="2">
    <cellStyle name="Comma" xfId="1" builtinId="3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4\th&#7867;%20kho%202024.chu&#7849;n\B&#249;i%20Ng&#7885;c\TH&#7866;%20KHO%202018\TH&#7866;%20KHO%20NGUY&#202;N%20V&#7852;T%20LI&#7878;U%20N&#258;M%20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 2018"/>
      <sheetName val="Keo 3395"/>
      <sheetName val="Băng dính "/>
      <sheetName val="Hộp 120 tờ trắng"/>
      <sheetName val="Thùng cattong 120 tờ"/>
      <sheetName val="Túi đựng hộp 120 tờ"/>
      <sheetName val="Hộp 120 tờ xanh"/>
      <sheetName val="Nilong SP hình tròn"/>
      <sheetName val="Nilong SP xếp lá cây "/>
      <sheetName val="Thùng cattong khăn soft pack"/>
      <sheetName val="Hộp CB"/>
      <sheetName val="Hộp Hoa nhí xanh"/>
      <sheetName val="Hộp HV"/>
      <sheetName val="Hộp CB nền bạc"/>
      <sheetName val="Hộp oto"/>
      <sheetName val="Túi bóng trắng đựng hộp giấy"/>
      <sheetName val="Thùng cattong 180 tờ"/>
      <sheetName val="Màng shelton"/>
      <sheetName val="Phôi giấy KH 760"/>
      <sheetName val="Nilong NKCB"/>
      <sheetName val="Nilong NK lá cây"/>
      <sheetName val="Phôi giấy NK 325"/>
      <sheetName val="Thùng catong Napkin 33 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">
          <cell r="A4" t="str">
            <v>THẺ KHO NGUYÊN VẬT LIỆU</v>
          </cell>
        </row>
      </sheetData>
      <sheetData sheetId="11" refreshError="1"/>
      <sheetData sheetId="12" refreshError="1">
        <row r="4">
          <cell r="A4" t="str">
            <v>THẺ KHO NGUYÊN VẬT LIỆU</v>
          </cell>
        </row>
      </sheetData>
      <sheetData sheetId="13" refreshError="1">
        <row r="4">
          <cell r="A4" t="str">
            <v>THẺ KHO NGUYÊN VẬT LIỆU</v>
          </cell>
        </row>
      </sheetData>
      <sheetData sheetId="14" refreshError="1">
        <row r="4">
          <cell r="A4" t="str">
            <v>THẺ KHO NGUYÊN VẬT LIỆU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A6134-9A40-4408-9D23-1DC2B929FEBC}" name="tblTongHopNVL" displayName="tblTongHopNVL" ref="A1:C24" totalsRowShown="0" headerRowDxfId="0">
  <autoFilter ref="A1:C24" xr:uid="{6B7A6134-9A40-4408-9D23-1DC2B929FEBC}"/>
  <tableColumns count="3">
    <tableColumn id="1" xr3:uid="{0D666417-A19A-4B18-A21B-452EE9DC7217}" name="Tên NVL (Tên sheet)"/>
    <tableColumn id="2" xr3:uid="{720FC697-8363-4DD0-9D40-41FFA298CC78}" name="Ðon vo tính (cot D)"/>
    <tableColumn id="3" xr3:uid="{23F7262F-CA8A-4A1E-9E03-522C8051A201}" name="So luong ton (cot 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71"/>
  <sheetViews>
    <sheetView view="pageBreakPreview" topLeftCell="C9" zoomScale="115" zoomScaleNormal="100" zoomScaleSheetLayoutView="115" workbookViewId="0">
      <selection activeCell="G30" sqref="G30"/>
    </sheetView>
  </sheetViews>
  <sheetFormatPr defaultColWidth="9.140625" defaultRowHeight="15.75" x14ac:dyDescent="0.25"/>
  <cols>
    <col min="1" max="1" width="6" style="131" customWidth="1"/>
    <col min="2" max="2" width="39.140625" style="131" customWidth="1"/>
    <col min="3" max="3" width="6.5703125" style="131" customWidth="1"/>
    <col min="4" max="4" width="11.5703125" style="135" customWidth="1"/>
    <col min="5" max="5" width="12.28515625" style="131" customWidth="1"/>
    <col min="6" max="6" width="12" style="131" customWidth="1"/>
    <col min="7" max="7" width="11.7109375" style="135" customWidth="1"/>
    <col min="8" max="8" width="22.7109375" style="131" customWidth="1"/>
    <col min="9" max="10" width="9.140625" style="131"/>
    <col min="11" max="11" width="11.28515625" style="131" bestFit="1" customWidth="1"/>
    <col min="12" max="15" width="9.140625" style="131"/>
    <col min="16" max="16" width="11.7109375" style="131" bestFit="1" customWidth="1"/>
    <col min="17" max="16384" width="9.140625" style="131"/>
  </cols>
  <sheetData>
    <row r="1" spans="1:12" x14ac:dyDescent="0.25">
      <c r="A1" s="131" t="s">
        <v>0</v>
      </c>
    </row>
    <row r="2" spans="1:12" x14ac:dyDescent="0.25">
      <c r="A2" s="131" t="s">
        <v>1</v>
      </c>
    </row>
    <row r="3" spans="1:12" x14ac:dyDescent="0.25">
      <c r="A3" s="270" t="s">
        <v>76</v>
      </c>
      <c r="B3" s="270"/>
      <c r="C3" s="270"/>
      <c r="D3" s="270"/>
      <c r="E3" s="270"/>
      <c r="F3" s="270"/>
      <c r="G3" s="270"/>
      <c r="H3" s="270"/>
    </row>
    <row r="4" spans="1:12" x14ac:dyDescent="0.25">
      <c r="A4" s="270"/>
      <c r="B4" s="270"/>
      <c r="C4" s="270"/>
      <c r="D4" s="270"/>
      <c r="E4" s="270"/>
      <c r="F4" s="270"/>
      <c r="G4" s="270"/>
      <c r="H4" s="270"/>
    </row>
    <row r="5" spans="1:12" x14ac:dyDescent="0.25">
      <c r="A5" s="133"/>
      <c r="B5" s="133"/>
      <c r="C5" s="133"/>
      <c r="D5" s="136"/>
      <c r="E5" s="133"/>
      <c r="F5" s="133"/>
      <c r="G5" s="136"/>
      <c r="H5" s="133"/>
    </row>
    <row r="7" spans="1:12" ht="27.75" customHeight="1" x14ac:dyDescent="0.25">
      <c r="A7" s="134" t="s">
        <v>3</v>
      </c>
      <c r="B7" s="134" t="s">
        <v>31</v>
      </c>
      <c r="C7" s="137" t="s">
        <v>28</v>
      </c>
      <c r="D7" s="138" t="s">
        <v>29</v>
      </c>
      <c r="E7" s="57" t="s">
        <v>6</v>
      </c>
      <c r="F7" s="57" t="s">
        <v>7</v>
      </c>
      <c r="G7" s="161" t="s">
        <v>30</v>
      </c>
      <c r="H7" s="134" t="s">
        <v>10</v>
      </c>
    </row>
    <row r="8" spans="1:12" ht="18" customHeight="1" x14ac:dyDescent="0.25">
      <c r="A8" s="125"/>
      <c r="B8" s="60"/>
      <c r="C8" s="60"/>
      <c r="D8" s="139"/>
      <c r="E8" s="62"/>
      <c r="F8" s="63"/>
      <c r="G8" s="140"/>
      <c r="H8" s="125"/>
    </row>
    <row r="9" spans="1:12" ht="18" customHeight="1" x14ac:dyDescent="0.25">
      <c r="A9" s="141">
        <v>1</v>
      </c>
      <c r="B9" s="15" t="s">
        <v>40</v>
      </c>
      <c r="C9" s="76" t="s">
        <v>20</v>
      </c>
      <c r="D9" s="139">
        <f>'THÙNG OTAKMI320,80'!G8</f>
        <v>0</v>
      </c>
      <c r="E9" s="67">
        <f>'THÙNG OTAKMI320,80'!E150</f>
        <v>22776</v>
      </c>
      <c r="F9" s="142">
        <f>'THÙNG OTAKMI320,80'!F150</f>
        <v>22505</v>
      </c>
      <c r="G9" s="69">
        <f>D9+E9-F9</f>
        <v>271</v>
      </c>
      <c r="H9" s="125"/>
    </row>
    <row r="10" spans="1:12" ht="18" customHeight="1" x14ac:dyDescent="0.25">
      <c r="A10" s="141">
        <f t="shared" ref="A10:A29" si="0">+A9+1</f>
        <v>2</v>
      </c>
      <c r="B10" s="15" t="s">
        <v>41</v>
      </c>
      <c r="C10" s="76" t="s">
        <v>20</v>
      </c>
      <c r="D10" s="139">
        <f>'THÙNG OTAKAMI320,76'!G8</f>
        <v>0</v>
      </c>
      <c r="E10" s="67">
        <f>'THÙNG OTAKAMI320,76'!E56</f>
        <v>3722</v>
      </c>
      <c r="F10" s="142">
        <f>'THÙNG OTAKAMI320,76'!F56</f>
        <v>3722</v>
      </c>
      <c r="G10" s="69">
        <f t="shared" ref="G10:G29" si="1">D10+E10-F10</f>
        <v>0</v>
      </c>
      <c r="H10" s="125"/>
    </row>
    <row r="11" spans="1:12" ht="18" customHeight="1" x14ac:dyDescent="0.25">
      <c r="A11" s="141">
        <f t="shared" si="0"/>
        <v>3</v>
      </c>
      <c r="B11" s="15" t="s">
        <v>43</v>
      </c>
      <c r="C11" s="76" t="s">
        <v>20</v>
      </c>
      <c r="D11" s="143">
        <f>'THÙNG OTAKAMI180,80  '!G9</f>
        <v>0</v>
      </c>
      <c r="E11" s="144">
        <f>'THÙNG OTAKAMI180,80  '!E84</f>
        <v>857</v>
      </c>
      <c r="F11" s="145">
        <f>'THÙNG OTAKAMI180,80  '!F84</f>
        <v>560</v>
      </c>
      <c r="G11" s="69">
        <f t="shared" si="1"/>
        <v>297</v>
      </c>
      <c r="H11" s="125"/>
    </row>
    <row r="12" spans="1:12" ht="18" customHeight="1" x14ac:dyDescent="0.25">
      <c r="A12" s="141">
        <f t="shared" si="0"/>
        <v>4</v>
      </c>
      <c r="B12" s="15" t="s">
        <v>47</v>
      </c>
      <c r="C12" s="76" t="s">
        <v>20</v>
      </c>
      <c r="D12" s="139">
        <f>'Thùng otakami 700,80'!G9</f>
        <v>0</v>
      </c>
      <c r="E12" s="67">
        <f>'Thùng otakami 700,80'!E42</f>
        <v>1300</v>
      </c>
      <c r="F12" s="142">
        <f>'Thùng otakami 700,80'!F42</f>
        <v>1318</v>
      </c>
      <c r="G12" s="69">
        <f t="shared" si="1"/>
        <v>-18</v>
      </c>
      <c r="H12" s="125"/>
      <c r="J12" s="146"/>
    </row>
    <row r="13" spans="1:12" ht="18" customHeight="1" x14ac:dyDescent="0.25">
      <c r="A13" s="141">
        <f t="shared" si="0"/>
        <v>5</v>
      </c>
      <c r="B13" s="15" t="s">
        <v>48</v>
      </c>
      <c r="C13" s="76" t="s">
        <v>20</v>
      </c>
      <c r="D13" s="139">
        <f>'Thùng otakami 700,76 '!G8</f>
        <v>0</v>
      </c>
      <c r="E13" s="67">
        <f>'Thùng otakami 700,76 '!E61</f>
        <v>500</v>
      </c>
      <c r="F13" s="142">
        <f>'Thùng otakami 700,76 '!F61</f>
        <v>540</v>
      </c>
      <c r="G13" s="69">
        <f t="shared" si="1"/>
        <v>-40</v>
      </c>
      <c r="H13" s="125"/>
    </row>
    <row r="14" spans="1:12" ht="18" customHeight="1" x14ac:dyDescent="0.25">
      <c r="A14" s="141">
        <f t="shared" si="0"/>
        <v>6</v>
      </c>
      <c r="B14" s="15" t="s">
        <v>49</v>
      </c>
      <c r="C14" s="76" t="s">
        <v>20</v>
      </c>
      <c r="D14" s="139">
        <f>'Thùng otakami 160,80'!G8</f>
        <v>0</v>
      </c>
      <c r="E14" s="67">
        <f>'Thùng otakami 160,80'!E43</f>
        <v>400</v>
      </c>
      <c r="F14" s="68">
        <f>'Thùng otakami 160,80'!F43</f>
        <v>400</v>
      </c>
      <c r="G14" s="69">
        <f t="shared" si="1"/>
        <v>0</v>
      </c>
      <c r="H14" s="125"/>
    </row>
    <row r="15" spans="1:12" s="170" customFormat="1" ht="18" customHeight="1" x14ac:dyDescent="0.25">
      <c r="A15" s="163">
        <f t="shared" si="0"/>
        <v>7</v>
      </c>
      <c r="B15" s="153" t="s">
        <v>57</v>
      </c>
      <c r="C15" s="96" t="s">
        <v>19</v>
      </c>
      <c r="D15" s="164">
        <f>'Phôi DL 15,2L'!G9</f>
        <v>0</v>
      </c>
      <c r="E15" s="165">
        <f>'Phôi DL 15,2L'!E47</f>
        <v>39004</v>
      </c>
      <c r="F15" s="166">
        <f>'Phôi DL 15,2L'!F47</f>
        <v>39004</v>
      </c>
      <c r="G15" s="167">
        <f t="shared" si="1"/>
        <v>0</v>
      </c>
      <c r="H15" s="168"/>
      <c r="I15" s="177" t="s">
        <v>88</v>
      </c>
      <c r="K15" s="169">
        <f>SUM(E15:E16)</f>
        <v>399683</v>
      </c>
      <c r="L15" s="169">
        <f>114000-K15</f>
        <v>-285683</v>
      </c>
    </row>
    <row r="16" spans="1:12" s="170" customFormat="1" ht="18" customHeight="1" x14ac:dyDescent="0.25">
      <c r="A16" s="163"/>
      <c r="B16" s="153" t="s">
        <v>84</v>
      </c>
      <c r="C16" s="96" t="s">
        <v>19</v>
      </c>
      <c r="D16" s="164">
        <f>'Phôi DL 15,5. 2 L'!G9</f>
        <v>0</v>
      </c>
      <c r="E16" s="165">
        <f>'Phôi DL 15,5. 2 L'!E149</f>
        <v>360679</v>
      </c>
      <c r="F16" s="166">
        <f>'Phôi DL 15,5. 2 L'!F149</f>
        <v>358756.80000000005</v>
      </c>
      <c r="G16" s="167">
        <f t="shared" si="1"/>
        <v>1922.1999999999534</v>
      </c>
      <c r="H16" s="168"/>
      <c r="I16" s="178"/>
    </row>
    <row r="17" spans="1:12" s="170" customFormat="1" ht="18" customHeight="1" x14ac:dyDescent="0.25">
      <c r="A17" s="163">
        <f>+A15+1</f>
        <v>8</v>
      </c>
      <c r="B17" s="171" t="s">
        <v>58</v>
      </c>
      <c r="C17" s="96" t="s">
        <v>19</v>
      </c>
      <c r="D17" s="164">
        <f>'Phôi DL 18,2L.700g'!G9</f>
        <v>0</v>
      </c>
      <c r="E17" s="165">
        <f>'Phôi DL 18,2L.700g'!E47</f>
        <v>9635.1999999999989</v>
      </c>
      <c r="F17" s="166">
        <f>'Phôi DL 18,2L.700g'!F47</f>
        <v>9658.2000000000007</v>
      </c>
      <c r="G17" s="167">
        <f t="shared" si="1"/>
        <v>-23.000000000001819</v>
      </c>
      <c r="H17" s="168"/>
      <c r="I17" s="179" t="s">
        <v>89</v>
      </c>
      <c r="K17" s="169">
        <f>+E17+E18+E20+E22+E23</f>
        <v>21348.199999999997</v>
      </c>
    </row>
    <row r="18" spans="1:12" s="170" customFormat="1" ht="18" customHeight="1" x14ac:dyDescent="0.25">
      <c r="A18" s="163">
        <f t="shared" si="0"/>
        <v>9</v>
      </c>
      <c r="B18" s="171" t="s">
        <v>73</v>
      </c>
      <c r="C18" s="96" t="s">
        <v>19</v>
      </c>
      <c r="D18" s="164">
        <f>'Phôi DL 18,1L.700g ,2 L'!G9</f>
        <v>0</v>
      </c>
      <c r="E18" s="165">
        <f>'Phôi DL 18,1L.700g ,2 L'!E47</f>
        <v>2342</v>
      </c>
      <c r="F18" s="166">
        <f>'Phôi DL 18,1L.700g ,2 L'!F47</f>
        <v>2342</v>
      </c>
      <c r="G18" s="167">
        <f t="shared" si="1"/>
        <v>0</v>
      </c>
      <c r="H18" s="172">
        <f>+SUM(E15:E23)</f>
        <v>472912.7</v>
      </c>
      <c r="I18" s="178" t="s">
        <v>90</v>
      </c>
      <c r="K18" s="169">
        <f>+E21</f>
        <v>39948.1</v>
      </c>
    </row>
    <row r="19" spans="1:12" s="170" customFormat="1" ht="18" customHeight="1" x14ac:dyDescent="0.25">
      <c r="A19" s="163">
        <f t="shared" si="0"/>
        <v>10</v>
      </c>
      <c r="B19" s="171" t="s">
        <v>74</v>
      </c>
      <c r="C19" s="96" t="s">
        <v>19</v>
      </c>
      <c r="D19" s="164">
        <f>'Phôi DL 23,2L.160m'!G9</f>
        <v>0</v>
      </c>
      <c r="E19" s="165">
        <f>'Phôi DL 23,2L.160m'!E47</f>
        <v>11933.4</v>
      </c>
      <c r="F19" s="166">
        <f>'Phôi DL 23,2L.160m'!F47</f>
        <v>10099</v>
      </c>
      <c r="G19" s="167">
        <f t="shared" si="1"/>
        <v>1834.3999999999996</v>
      </c>
      <c r="H19" s="168"/>
      <c r="I19" s="179" t="s">
        <v>91</v>
      </c>
      <c r="K19" s="169">
        <f>+E19</f>
        <v>11933.4</v>
      </c>
    </row>
    <row r="20" spans="1:12" s="170" customFormat="1" ht="18" customHeight="1" x14ac:dyDescent="0.25">
      <c r="A20" s="163">
        <f t="shared" si="0"/>
        <v>11</v>
      </c>
      <c r="B20" s="171" t="s">
        <v>75</v>
      </c>
      <c r="C20" s="96" t="s">
        <v>19</v>
      </c>
      <c r="D20" s="164">
        <f>'Phôi DL 18,2L.600g '!G9</f>
        <v>0</v>
      </c>
      <c r="E20" s="165">
        <f>'Phôi DL 18,2L.600g '!E47</f>
        <v>6063</v>
      </c>
      <c r="F20" s="166">
        <f>'Phôi DL 18,2L.600g '!F47</f>
        <v>6040</v>
      </c>
      <c r="G20" s="167">
        <f t="shared" si="1"/>
        <v>23</v>
      </c>
      <c r="H20" s="168"/>
      <c r="I20" s="178">
        <f>+SUM(F15:F22)</f>
        <v>467616.00000000006</v>
      </c>
    </row>
    <row r="21" spans="1:12" s="170" customFormat="1" ht="18" customHeight="1" x14ac:dyDescent="0.25">
      <c r="A21" s="163">
        <f t="shared" si="0"/>
        <v>12</v>
      </c>
      <c r="B21" s="171" t="s">
        <v>82</v>
      </c>
      <c r="C21" s="96" t="s">
        <v>19</v>
      </c>
      <c r="D21" s="164">
        <f>'Phôi DL 16,2L.180m'!G9</f>
        <v>0</v>
      </c>
      <c r="E21" s="165">
        <f>'Phôi DL 16,2L.180m'!E48</f>
        <v>39948.1</v>
      </c>
      <c r="F21" s="166">
        <f>'Phôi DL 16,2L.180m'!F48</f>
        <v>39422</v>
      </c>
      <c r="G21" s="167">
        <f t="shared" si="1"/>
        <v>526.09999999999854</v>
      </c>
      <c r="H21" s="168"/>
    </row>
    <row r="22" spans="1:12" s="170" customFormat="1" ht="18" customHeight="1" x14ac:dyDescent="0.25">
      <c r="A22" s="163">
        <f t="shared" si="0"/>
        <v>13</v>
      </c>
      <c r="B22" s="171" t="s">
        <v>77</v>
      </c>
      <c r="C22" s="96" t="s">
        <v>19</v>
      </c>
      <c r="D22" s="164">
        <f>'Phôi DL 18,1L,600'!G9</f>
        <v>0</v>
      </c>
      <c r="E22" s="165">
        <f>'Phôi DL 18,1L,600'!E47</f>
        <v>2294</v>
      </c>
      <c r="F22" s="166">
        <f>'Phôi DL 18,1L,600'!F47</f>
        <v>2294</v>
      </c>
      <c r="G22" s="167">
        <f t="shared" si="1"/>
        <v>0</v>
      </c>
      <c r="H22" s="168"/>
    </row>
    <row r="23" spans="1:12" s="170" customFormat="1" ht="18" customHeight="1" x14ac:dyDescent="0.25">
      <c r="A23" s="163"/>
      <c r="B23" s="171" t="s">
        <v>87</v>
      </c>
      <c r="C23" s="96" t="s">
        <v>19</v>
      </c>
      <c r="D23" s="164">
        <f>'Phôi DL 18,5,2L'!G9</f>
        <v>0</v>
      </c>
      <c r="E23" s="165">
        <f>'Phôi DL 18,5,2L'!E47</f>
        <v>1014</v>
      </c>
      <c r="F23" s="166">
        <f>'Phôi DL 18,5,2L'!F47</f>
        <v>0</v>
      </c>
      <c r="G23" s="167">
        <f t="shared" si="1"/>
        <v>1014</v>
      </c>
      <c r="H23" s="168"/>
      <c r="I23" s="169">
        <f>+G18+G23</f>
        <v>1014</v>
      </c>
    </row>
    <row r="24" spans="1:12" ht="18" customHeight="1" x14ac:dyDescent="0.25">
      <c r="A24" s="141">
        <f>+A22+1</f>
        <v>14</v>
      </c>
      <c r="B24" s="66" t="s">
        <v>59</v>
      </c>
      <c r="C24" s="66" t="s">
        <v>55</v>
      </c>
      <c r="D24" s="139">
        <f>'Lõi 76'!G8</f>
        <v>0</v>
      </c>
      <c r="E24" s="67">
        <f>'Lõi 76'!E59</f>
        <v>2483</v>
      </c>
      <c r="F24" s="67">
        <f>'Lõi 76'!F59</f>
        <v>2483</v>
      </c>
      <c r="G24" s="69">
        <f t="shared" si="1"/>
        <v>0</v>
      </c>
      <c r="H24" s="125"/>
    </row>
    <row r="25" spans="1:12" ht="18" customHeight="1" x14ac:dyDescent="0.25">
      <c r="A25" s="141">
        <f t="shared" si="0"/>
        <v>15</v>
      </c>
      <c r="B25" s="15" t="s">
        <v>60</v>
      </c>
      <c r="C25" s="66" t="s">
        <v>19</v>
      </c>
      <c r="D25" s="139">
        <f>'Lõi 80'!G8</f>
        <v>0</v>
      </c>
      <c r="E25" s="67">
        <f>'Lõi 80'!E146</f>
        <v>13243</v>
      </c>
      <c r="F25" s="67">
        <f>'Lõi 80'!F146</f>
        <v>13264</v>
      </c>
      <c r="G25" s="69">
        <f t="shared" si="1"/>
        <v>-21</v>
      </c>
      <c r="H25" s="125"/>
    </row>
    <row r="26" spans="1:12" ht="18" customHeight="1" x14ac:dyDescent="0.25">
      <c r="A26" s="141">
        <f t="shared" si="0"/>
        <v>16</v>
      </c>
      <c r="B26" s="15" t="s">
        <v>78</v>
      </c>
      <c r="C26" s="66" t="s">
        <v>19</v>
      </c>
      <c r="D26" s="139">
        <f>'Bao trắng 600g,bb,80 '!G8</f>
        <v>0</v>
      </c>
      <c r="E26" s="91">
        <f>'Bao trắng 600g,bb,80 '!E158</f>
        <v>136.6</v>
      </c>
      <c r="F26" s="91">
        <f>'Bao trắng 600g,bb,80 '!F158</f>
        <v>72.699999999999989</v>
      </c>
      <c r="G26" s="69">
        <f t="shared" si="1"/>
        <v>63.900000000000006</v>
      </c>
      <c r="H26" s="125"/>
    </row>
    <row r="27" spans="1:12" ht="18" customHeight="1" x14ac:dyDescent="0.25">
      <c r="A27" s="141">
        <f t="shared" si="0"/>
        <v>17</v>
      </c>
      <c r="B27" s="15" t="s">
        <v>79</v>
      </c>
      <c r="C27" s="66" t="s">
        <v>19</v>
      </c>
      <c r="D27" s="139">
        <f>'Bao trắng 320 M ,C '!G8</f>
        <v>0</v>
      </c>
      <c r="E27" s="67">
        <f>'Bao trắng 320 M ,C '!E153</f>
        <v>41.6</v>
      </c>
      <c r="F27" s="67">
        <f>'Bao trắng 320 M ,C '!F153</f>
        <v>42.5</v>
      </c>
      <c r="G27" s="69">
        <f t="shared" si="1"/>
        <v>-0.89999999999999858</v>
      </c>
      <c r="H27" s="125"/>
      <c r="L27" s="146"/>
    </row>
    <row r="28" spans="1:12" ht="18" customHeight="1" x14ac:dyDescent="0.25">
      <c r="A28" s="141">
        <f>+A27+1</f>
        <v>18</v>
      </c>
      <c r="B28" s="15" t="s">
        <v>80</v>
      </c>
      <c r="C28" s="66" t="s">
        <v>19</v>
      </c>
      <c r="D28" s="139">
        <f>'Bao 320 M ,76 MTL'!G8</f>
        <v>0</v>
      </c>
      <c r="E28" s="67">
        <f>'Bao 320 M ,76 MTL'!E160</f>
        <v>297.60000000000002</v>
      </c>
      <c r="F28" s="68">
        <f>'Bao 320 M ,76 MTL'!F160</f>
        <v>298</v>
      </c>
      <c r="G28" s="69">
        <f t="shared" si="1"/>
        <v>-0.39999999999997726</v>
      </c>
      <c r="H28" s="125"/>
      <c r="K28" s="146">
        <f>+E17+E18+E20+E22</f>
        <v>20334.199999999997</v>
      </c>
    </row>
    <row r="29" spans="1:12" ht="18" customHeight="1" x14ac:dyDescent="0.25">
      <c r="A29" s="141">
        <f t="shared" si="0"/>
        <v>19</v>
      </c>
      <c r="B29" s="66" t="s">
        <v>81</v>
      </c>
      <c r="C29" s="66" t="s">
        <v>19</v>
      </c>
      <c r="D29" s="139">
        <f>'Bao trắng 4, 320 M,76 MTL'!G8</f>
        <v>0</v>
      </c>
      <c r="E29" s="67">
        <f>'Bao trắng 4, 320 M,76 MTL'!E151</f>
        <v>93</v>
      </c>
      <c r="F29" s="68">
        <f>'Bao trắng 4, 320 M,76 MTL'!F151</f>
        <v>69.300000000000011</v>
      </c>
      <c r="G29" s="69">
        <f t="shared" si="1"/>
        <v>23.699999999999989</v>
      </c>
      <c r="H29" s="125"/>
    </row>
    <row r="30" spans="1:12" ht="15" customHeight="1" x14ac:dyDescent="0.25">
      <c r="A30" s="147"/>
      <c r="B30" s="148" t="s">
        <v>13</v>
      </c>
      <c r="C30" s="148"/>
      <c r="D30" s="149"/>
      <c r="E30" s="150">
        <f>SUM(E9:E29)</f>
        <v>518762.49999999994</v>
      </c>
      <c r="F30" s="150">
        <f>SUM(F9:F29)</f>
        <v>512890.50000000006</v>
      </c>
      <c r="G30" s="162">
        <f>SUM(G9:G29)</f>
        <v>5871.99999999995</v>
      </c>
      <c r="H30" s="151"/>
    </row>
    <row r="31" spans="1:12" ht="15" customHeight="1" x14ac:dyDescent="0.25">
      <c r="E31" s="146"/>
      <c r="F31" s="146"/>
    </row>
    <row r="32" spans="1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</sheetData>
  <mergeCells count="1">
    <mergeCell ref="A3:H4"/>
  </mergeCells>
  <pageMargins left="0.7" right="0.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191"/>
  <sheetViews>
    <sheetView topLeftCell="A99" workbookViewId="0">
      <selection activeCell="F124" sqref="F124"/>
    </sheetView>
  </sheetViews>
  <sheetFormatPr defaultRowHeight="15" x14ac:dyDescent="0.25"/>
  <cols>
    <col min="1" max="1" width="6" customWidth="1"/>
    <col min="2" max="2" width="11.5703125" style="1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3.28515625" customWidth="1"/>
    <col min="9" max="9" width="35.42578125" customWidth="1"/>
    <col min="12" max="12" width="11.28515625" bestFit="1" customWidth="1"/>
    <col min="17" max="17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3" spans="1:13" x14ac:dyDescent="0.25">
      <c r="A3" s="271" t="s">
        <v>2</v>
      </c>
      <c r="B3" s="271"/>
      <c r="C3" s="271"/>
      <c r="D3" s="271"/>
      <c r="E3" s="271"/>
      <c r="F3" s="271"/>
      <c r="G3" s="271"/>
      <c r="H3" s="271"/>
      <c r="I3" s="271"/>
    </row>
    <row r="4" spans="1:13" x14ac:dyDescent="0.25">
      <c r="A4" s="271"/>
      <c r="B4" s="271"/>
      <c r="C4" s="271"/>
      <c r="D4" s="271"/>
      <c r="E4" s="271"/>
      <c r="F4" s="271"/>
      <c r="G4" s="271"/>
      <c r="H4" s="271"/>
      <c r="I4" s="271"/>
    </row>
    <row r="5" spans="1:13" x14ac:dyDescent="0.25">
      <c r="A5" s="2"/>
      <c r="B5" s="3"/>
      <c r="C5" s="2"/>
      <c r="D5" s="2"/>
      <c r="E5" s="2"/>
      <c r="F5" s="2"/>
      <c r="G5" s="2"/>
      <c r="H5" s="2"/>
      <c r="I5" s="2"/>
    </row>
    <row r="7" spans="1:13" ht="27.75" customHeight="1" x14ac:dyDescent="0.25">
      <c r="A7" s="4" t="s">
        <v>3</v>
      </c>
      <c r="B7" s="5" t="s">
        <v>4</v>
      </c>
      <c r="C7" s="4" t="s">
        <v>31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3" ht="18" customHeight="1" x14ac:dyDescent="0.25">
      <c r="A8" s="7"/>
      <c r="B8" s="8"/>
      <c r="C8" s="9" t="s">
        <v>11</v>
      </c>
      <c r="D8" s="10"/>
      <c r="E8" s="11"/>
      <c r="F8" s="12"/>
      <c r="G8" s="152"/>
      <c r="H8" s="7"/>
      <c r="I8" s="7"/>
    </row>
    <row r="9" spans="1:13" ht="18" customHeight="1" x14ac:dyDescent="0.25">
      <c r="A9" s="14">
        <v>1</v>
      </c>
      <c r="B9" s="8">
        <v>45703</v>
      </c>
      <c r="C9" s="15" t="s">
        <v>40</v>
      </c>
      <c r="D9" s="10" t="s">
        <v>12</v>
      </c>
      <c r="E9" s="16">
        <v>940</v>
      </c>
      <c r="F9" s="17"/>
      <c r="G9" s="18">
        <f t="shared" ref="G9:G149" si="0">+G8+E9-F9</f>
        <v>940</v>
      </c>
      <c r="H9" s="18" t="s">
        <v>26</v>
      </c>
      <c r="I9" s="7" t="s">
        <v>25</v>
      </c>
    </row>
    <row r="10" spans="1:13" ht="18" customHeight="1" x14ac:dyDescent="0.25">
      <c r="A10" s="14">
        <f t="shared" ref="A10:A69" si="1">+A9+1</f>
        <v>2</v>
      </c>
      <c r="B10" s="8">
        <v>45703</v>
      </c>
      <c r="C10" s="15" t="s">
        <v>40</v>
      </c>
      <c r="D10" s="10" t="s">
        <v>12</v>
      </c>
      <c r="E10" s="16">
        <v>920</v>
      </c>
      <c r="F10" s="17"/>
      <c r="G10" s="18">
        <f t="shared" si="0"/>
        <v>1860</v>
      </c>
      <c r="H10" s="18" t="s">
        <v>26</v>
      </c>
      <c r="I10" s="7" t="s">
        <v>25</v>
      </c>
    </row>
    <row r="11" spans="1:13" s="25" customFormat="1" ht="18" customHeight="1" x14ac:dyDescent="0.25">
      <c r="A11" s="19">
        <f t="shared" si="1"/>
        <v>3</v>
      </c>
      <c r="B11" s="20">
        <v>45712</v>
      </c>
      <c r="C11" s="15"/>
      <c r="D11" s="21" t="s">
        <v>12</v>
      </c>
      <c r="E11" s="22">
        <v>1000</v>
      </c>
      <c r="F11" s="23">
        <v>48</v>
      </c>
      <c r="G11" s="24">
        <f t="shared" si="0"/>
        <v>2812</v>
      </c>
      <c r="H11" s="18" t="s">
        <v>26</v>
      </c>
      <c r="I11" s="7" t="s">
        <v>25</v>
      </c>
      <c r="J11" s="201" t="s">
        <v>61</v>
      </c>
    </row>
    <row r="12" spans="1:13" ht="18" customHeight="1" x14ac:dyDescent="0.25">
      <c r="A12" s="14">
        <f t="shared" si="1"/>
        <v>4</v>
      </c>
      <c r="B12" s="8">
        <v>45716</v>
      </c>
      <c r="C12" s="15"/>
      <c r="D12" s="10" t="s">
        <v>12</v>
      </c>
      <c r="E12" s="16"/>
      <c r="F12" s="17">
        <v>53</v>
      </c>
      <c r="G12" s="18">
        <f t="shared" si="0"/>
        <v>2759</v>
      </c>
      <c r="H12" s="18" t="s">
        <v>26</v>
      </c>
      <c r="I12" s="7" t="s">
        <v>25</v>
      </c>
      <c r="K12" s="26"/>
    </row>
    <row r="13" spans="1:13" s="223" customFormat="1" ht="18" customHeight="1" x14ac:dyDescent="0.25">
      <c r="A13" s="221">
        <f t="shared" si="1"/>
        <v>5</v>
      </c>
      <c r="B13" s="205">
        <v>45717</v>
      </c>
      <c r="C13" s="206"/>
      <c r="D13" s="207" t="s">
        <v>12</v>
      </c>
      <c r="E13" s="54"/>
      <c r="F13" s="53">
        <v>166</v>
      </c>
      <c r="G13" s="203">
        <f t="shared" si="0"/>
        <v>2593</v>
      </c>
      <c r="H13" s="203" t="s">
        <v>26</v>
      </c>
      <c r="I13" s="222" t="s">
        <v>25</v>
      </c>
    </row>
    <row r="14" spans="1:13" s="223" customFormat="1" ht="18" customHeight="1" x14ac:dyDescent="0.25">
      <c r="A14" s="221">
        <f t="shared" si="1"/>
        <v>6</v>
      </c>
      <c r="B14" s="205">
        <v>45719</v>
      </c>
      <c r="C14" s="206"/>
      <c r="D14" s="207" t="s">
        <v>12</v>
      </c>
      <c r="E14" s="54"/>
      <c r="F14" s="53">
        <v>242</v>
      </c>
      <c r="G14" s="203">
        <f t="shared" si="0"/>
        <v>2351</v>
      </c>
      <c r="H14" s="203" t="s">
        <v>26</v>
      </c>
      <c r="I14" s="222" t="s">
        <v>25</v>
      </c>
    </row>
    <row r="15" spans="1:13" s="223" customFormat="1" ht="18" customHeight="1" x14ac:dyDescent="0.25">
      <c r="A15" s="221">
        <f t="shared" si="1"/>
        <v>7</v>
      </c>
      <c r="B15" s="205">
        <v>45720</v>
      </c>
      <c r="C15" s="206"/>
      <c r="D15" s="207" t="s">
        <v>12</v>
      </c>
      <c r="E15" s="54"/>
      <c r="F15" s="53">
        <v>185</v>
      </c>
      <c r="G15" s="203">
        <f t="shared" si="0"/>
        <v>2166</v>
      </c>
      <c r="H15" s="203" t="s">
        <v>26</v>
      </c>
      <c r="I15" s="222" t="s">
        <v>25</v>
      </c>
    </row>
    <row r="16" spans="1:13" s="223" customFormat="1" ht="18" customHeight="1" x14ac:dyDescent="0.25">
      <c r="A16" s="221">
        <f t="shared" si="1"/>
        <v>8</v>
      </c>
      <c r="B16" s="205">
        <v>45728</v>
      </c>
      <c r="C16" s="206"/>
      <c r="D16" s="207" t="s">
        <v>12</v>
      </c>
      <c r="E16" s="54">
        <v>109</v>
      </c>
      <c r="F16" s="53">
        <f>56</f>
        <v>56</v>
      </c>
      <c r="G16" s="203">
        <f t="shared" si="0"/>
        <v>2219</v>
      </c>
      <c r="H16" s="203" t="s">
        <v>26</v>
      </c>
      <c r="I16" s="222" t="s">
        <v>25</v>
      </c>
      <c r="J16" s="225" t="s">
        <v>95</v>
      </c>
      <c r="K16" s="225"/>
      <c r="L16" s="225"/>
      <c r="M16" s="225"/>
    </row>
    <row r="17" spans="1:13" s="223" customFormat="1" ht="18" customHeight="1" x14ac:dyDescent="0.25">
      <c r="A17" s="221"/>
      <c r="B17" s="205">
        <v>45733</v>
      </c>
      <c r="C17" s="226" t="s">
        <v>98</v>
      </c>
      <c r="D17" s="207" t="s">
        <v>12</v>
      </c>
      <c r="E17" s="54">
        <v>40</v>
      </c>
      <c r="F17" s="52">
        <v>109</v>
      </c>
      <c r="G17" s="203">
        <f t="shared" si="0"/>
        <v>2150</v>
      </c>
      <c r="H17" s="203"/>
      <c r="I17" s="222"/>
      <c r="J17" s="227" t="s">
        <v>96</v>
      </c>
      <c r="K17" s="227"/>
      <c r="L17" s="227"/>
      <c r="M17" s="227"/>
    </row>
    <row r="18" spans="1:13" s="223" customFormat="1" ht="18" customHeight="1" x14ac:dyDescent="0.25">
      <c r="A18" s="221">
        <f>+A16+1</f>
        <v>9</v>
      </c>
      <c r="B18" s="205">
        <v>45737</v>
      </c>
      <c r="C18" s="206"/>
      <c r="D18" s="207" t="s">
        <v>12</v>
      </c>
      <c r="E18" s="54"/>
      <c r="F18" s="228">
        <v>270</v>
      </c>
      <c r="G18" s="203">
        <f t="shared" si="0"/>
        <v>1880</v>
      </c>
      <c r="H18" s="203"/>
      <c r="I18" s="222"/>
      <c r="J18" s="229"/>
      <c r="K18" s="229"/>
      <c r="L18" s="229"/>
      <c r="M18" s="229"/>
    </row>
    <row r="19" spans="1:13" s="223" customFormat="1" ht="18" customHeight="1" x14ac:dyDescent="0.25">
      <c r="A19" s="221">
        <f t="shared" si="1"/>
        <v>10</v>
      </c>
      <c r="B19" s="205">
        <v>45738</v>
      </c>
      <c r="C19" s="206"/>
      <c r="D19" s="207" t="s">
        <v>12</v>
      </c>
      <c r="E19" s="54"/>
      <c r="F19" s="228">
        <v>140</v>
      </c>
      <c r="G19" s="203">
        <f t="shared" si="0"/>
        <v>1740</v>
      </c>
      <c r="H19" s="203" t="s">
        <v>26</v>
      </c>
      <c r="I19" s="222" t="s">
        <v>25</v>
      </c>
    </row>
    <row r="20" spans="1:13" s="223" customFormat="1" ht="18" customHeight="1" x14ac:dyDescent="0.25">
      <c r="A20" s="221">
        <f t="shared" si="1"/>
        <v>11</v>
      </c>
      <c r="B20" s="205">
        <v>45739</v>
      </c>
      <c r="C20" s="206"/>
      <c r="D20" s="207" t="s">
        <v>12</v>
      </c>
      <c r="E20" s="230"/>
      <c r="F20" s="228">
        <v>73</v>
      </c>
      <c r="G20" s="203">
        <f t="shared" si="0"/>
        <v>1667</v>
      </c>
      <c r="H20" s="203" t="s">
        <v>26</v>
      </c>
      <c r="I20" s="222" t="s">
        <v>25</v>
      </c>
    </row>
    <row r="21" spans="1:13" s="223" customFormat="1" ht="18" customHeight="1" x14ac:dyDescent="0.25">
      <c r="A21" s="221">
        <f t="shared" si="1"/>
        <v>12</v>
      </c>
      <c r="B21" s="205">
        <v>45740</v>
      </c>
      <c r="C21" s="206"/>
      <c r="D21" s="207" t="s">
        <v>12</v>
      </c>
      <c r="E21" s="54"/>
      <c r="F21" s="228">
        <f>164+92+9</f>
        <v>265</v>
      </c>
      <c r="G21" s="203">
        <f t="shared" si="0"/>
        <v>1402</v>
      </c>
      <c r="H21" s="203" t="s">
        <v>26</v>
      </c>
      <c r="I21" s="222" t="s">
        <v>25</v>
      </c>
      <c r="M21" s="231"/>
    </row>
    <row r="22" spans="1:13" s="223" customFormat="1" ht="18" customHeight="1" x14ac:dyDescent="0.25">
      <c r="A22" s="221">
        <f t="shared" si="1"/>
        <v>13</v>
      </c>
      <c r="B22" s="205">
        <v>45743</v>
      </c>
      <c r="C22" s="206"/>
      <c r="D22" s="207" t="s">
        <v>12</v>
      </c>
      <c r="E22" s="54"/>
      <c r="F22" s="53">
        <v>133</v>
      </c>
      <c r="G22" s="203">
        <f t="shared" si="0"/>
        <v>1269</v>
      </c>
      <c r="H22" s="203" t="s">
        <v>26</v>
      </c>
      <c r="I22" s="222" t="s">
        <v>25</v>
      </c>
    </row>
    <row r="23" spans="1:13" s="223" customFormat="1" ht="18" customHeight="1" x14ac:dyDescent="0.25">
      <c r="A23" s="221">
        <f t="shared" si="1"/>
        <v>14</v>
      </c>
      <c r="B23" s="205">
        <v>45744</v>
      </c>
      <c r="C23" s="206"/>
      <c r="D23" s="207" t="s">
        <v>12</v>
      </c>
      <c r="E23" s="54"/>
      <c r="F23" s="53">
        <v>214</v>
      </c>
      <c r="G23" s="203">
        <f t="shared" si="0"/>
        <v>1055</v>
      </c>
      <c r="H23" s="203" t="s">
        <v>26</v>
      </c>
      <c r="I23" s="222" t="s">
        <v>25</v>
      </c>
      <c r="M23" s="231"/>
    </row>
    <row r="24" spans="1:13" s="223" customFormat="1" ht="18" customHeight="1" x14ac:dyDescent="0.25">
      <c r="A24" s="221">
        <f t="shared" si="1"/>
        <v>15</v>
      </c>
      <c r="B24" s="205">
        <v>45746</v>
      </c>
      <c r="C24" s="206"/>
      <c r="D24" s="207" t="s">
        <v>12</v>
      </c>
      <c r="E24" s="208"/>
      <c r="F24" s="53">
        <v>271</v>
      </c>
      <c r="G24" s="203">
        <f t="shared" si="0"/>
        <v>784</v>
      </c>
      <c r="H24" s="203" t="s">
        <v>26</v>
      </c>
      <c r="I24" s="222" t="s">
        <v>25</v>
      </c>
    </row>
    <row r="25" spans="1:13" s="223" customFormat="1" ht="18" customHeight="1" x14ac:dyDescent="0.25">
      <c r="A25" s="221">
        <f t="shared" si="1"/>
        <v>16</v>
      </c>
      <c r="B25" s="205">
        <v>45747</v>
      </c>
      <c r="C25" s="206"/>
      <c r="D25" s="207" t="s">
        <v>12</v>
      </c>
      <c r="E25" s="208"/>
      <c r="F25" s="53">
        <v>326</v>
      </c>
      <c r="G25" s="203">
        <f t="shared" si="0"/>
        <v>458</v>
      </c>
      <c r="H25" s="203" t="s">
        <v>26</v>
      </c>
      <c r="I25" s="222" t="s">
        <v>25</v>
      </c>
    </row>
    <row r="26" spans="1:13" s="223" customFormat="1" ht="18" customHeight="1" x14ac:dyDescent="0.25">
      <c r="A26" s="221">
        <f t="shared" si="1"/>
        <v>17</v>
      </c>
      <c r="B26" s="205">
        <v>45748</v>
      </c>
      <c r="C26" s="206"/>
      <c r="D26" s="207" t="s">
        <v>12</v>
      </c>
      <c r="E26" s="208"/>
      <c r="F26" s="53">
        <v>275</v>
      </c>
      <c r="G26" s="203">
        <f t="shared" si="0"/>
        <v>183</v>
      </c>
      <c r="H26" s="203" t="s">
        <v>26</v>
      </c>
      <c r="I26" s="222" t="s">
        <v>25</v>
      </c>
      <c r="J26" s="231"/>
    </row>
    <row r="27" spans="1:13" s="223" customFormat="1" ht="18" customHeight="1" x14ac:dyDescent="0.25">
      <c r="A27" s="221">
        <v>0</v>
      </c>
      <c r="B27" s="205">
        <v>45761</v>
      </c>
      <c r="C27" s="206"/>
      <c r="D27" s="207" t="s">
        <v>12</v>
      </c>
      <c r="E27" s="208">
        <v>400</v>
      </c>
      <c r="F27" s="52"/>
      <c r="G27" s="203">
        <f t="shared" si="0"/>
        <v>583</v>
      </c>
      <c r="H27" s="203" t="s">
        <v>26</v>
      </c>
      <c r="I27" s="222" t="s">
        <v>25</v>
      </c>
    </row>
    <row r="28" spans="1:13" s="223" customFormat="1" ht="18" customHeight="1" x14ac:dyDescent="0.25">
      <c r="A28" s="221">
        <f t="shared" si="1"/>
        <v>1</v>
      </c>
      <c r="B28" s="205">
        <v>45764</v>
      </c>
      <c r="C28" s="206"/>
      <c r="D28" s="207" t="s">
        <v>12</v>
      </c>
      <c r="E28" s="208"/>
      <c r="F28" s="52">
        <v>265</v>
      </c>
      <c r="G28" s="203">
        <f t="shared" si="0"/>
        <v>318</v>
      </c>
      <c r="H28" s="203" t="s">
        <v>26</v>
      </c>
      <c r="I28" s="222" t="s">
        <v>25</v>
      </c>
      <c r="M28" s="223">
        <f>6703+109</f>
        <v>6812</v>
      </c>
    </row>
    <row r="29" spans="1:13" s="223" customFormat="1" ht="18" customHeight="1" x14ac:dyDescent="0.25">
      <c r="A29" s="221">
        <f t="shared" si="1"/>
        <v>2</v>
      </c>
      <c r="B29" s="205">
        <v>45765</v>
      </c>
      <c r="C29" s="206"/>
      <c r="D29" s="207" t="s">
        <v>12</v>
      </c>
      <c r="E29" s="208"/>
      <c r="F29" s="52">
        <v>266</v>
      </c>
      <c r="G29" s="203">
        <f t="shared" si="0"/>
        <v>52</v>
      </c>
      <c r="H29" s="203" t="s">
        <v>26</v>
      </c>
      <c r="I29" s="222" t="s">
        <v>25</v>
      </c>
    </row>
    <row r="30" spans="1:13" s="223" customFormat="1" ht="18" customHeight="1" x14ac:dyDescent="0.25">
      <c r="A30" s="221">
        <f t="shared" si="1"/>
        <v>3</v>
      </c>
      <c r="B30" s="205">
        <v>45766</v>
      </c>
      <c r="C30" s="206"/>
      <c r="D30" s="207" t="s">
        <v>12</v>
      </c>
      <c r="E30" s="208">
        <v>700</v>
      </c>
      <c r="F30" s="52">
        <v>256</v>
      </c>
      <c r="G30" s="203">
        <f t="shared" si="0"/>
        <v>496</v>
      </c>
      <c r="H30" s="203" t="s">
        <v>26</v>
      </c>
      <c r="I30" s="222" t="s">
        <v>25</v>
      </c>
    </row>
    <row r="31" spans="1:13" s="223" customFormat="1" ht="18" customHeight="1" x14ac:dyDescent="0.25">
      <c r="A31" s="221">
        <f t="shared" si="1"/>
        <v>4</v>
      </c>
      <c r="B31" s="205">
        <v>45768</v>
      </c>
      <c r="C31" s="206"/>
      <c r="D31" s="207" t="s">
        <v>12</v>
      </c>
      <c r="E31" s="208"/>
      <c r="F31" s="52">
        <v>73</v>
      </c>
      <c r="G31" s="203">
        <f t="shared" si="0"/>
        <v>423</v>
      </c>
      <c r="H31" s="203" t="s">
        <v>26</v>
      </c>
      <c r="I31" s="222" t="s">
        <v>25</v>
      </c>
    </row>
    <row r="32" spans="1:13" s="223" customFormat="1" ht="18" customHeight="1" x14ac:dyDescent="0.25">
      <c r="A32" s="221">
        <f t="shared" si="1"/>
        <v>5</v>
      </c>
      <c r="B32" s="205">
        <v>45771</v>
      </c>
      <c r="C32" s="206"/>
      <c r="D32" s="207" t="s">
        <v>12</v>
      </c>
      <c r="E32" s="208">
        <v>200</v>
      </c>
      <c r="F32" s="52">
        <v>69</v>
      </c>
      <c r="G32" s="203">
        <f t="shared" si="0"/>
        <v>554</v>
      </c>
      <c r="H32" s="203" t="s">
        <v>26</v>
      </c>
      <c r="I32" s="222" t="s">
        <v>25</v>
      </c>
    </row>
    <row r="33" spans="1:14" s="181" customFormat="1" ht="18" customHeight="1" x14ac:dyDescent="0.25">
      <c r="A33" s="106">
        <f t="shared" si="1"/>
        <v>6</v>
      </c>
      <c r="B33" s="107">
        <v>45772</v>
      </c>
      <c r="C33" s="171"/>
      <c r="D33" s="159" t="s">
        <v>12</v>
      </c>
      <c r="E33" s="108"/>
      <c r="F33" s="31">
        <v>182</v>
      </c>
      <c r="G33" s="110">
        <f t="shared" si="0"/>
        <v>372</v>
      </c>
      <c r="H33" s="110" t="s">
        <v>26</v>
      </c>
      <c r="I33" s="174" t="s">
        <v>25</v>
      </c>
    </row>
    <row r="34" spans="1:14" s="223" customFormat="1" ht="18" customHeight="1" x14ac:dyDescent="0.25">
      <c r="A34" s="221">
        <f t="shared" si="1"/>
        <v>7</v>
      </c>
      <c r="B34" s="205">
        <v>45785</v>
      </c>
      <c r="C34" s="206"/>
      <c r="D34" s="207" t="s">
        <v>12</v>
      </c>
      <c r="E34" s="208"/>
      <c r="F34" s="52">
        <v>161</v>
      </c>
      <c r="G34" s="203">
        <f t="shared" si="0"/>
        <v>211</v>
      </c>
      <c r="H34" s="209"/>
      <c r="I34" s="222"/>
    </row>
    <row r="35" spans="1:14" s="223" customFormat="1" ht="18" customHeight="1" x14ac:dyDescent="0.25">
      <c r="A35" s="221">
        <f t="shared" si="1"/>
        <v>8</v>
      </c>
      <c r="B35" s="205">
        <v>45786</v>
      </c>
      <c r="C35" s="206"/>
      <c r="D35" s="207" t="s">
        <v>12</v>
      </c>
      <c r="E35" s="208">
        <v>100</v>
      </c>
      <c r="F35" s="52"/>
      <c r="G35" s="203">
        <f t="shared" si="0"/>
        <v>311</v>
      </c>
      <c r="H35" s="209"/>
      <c r="I35" s="222"/>
    </row>
    <row r="36" spans="1:14" s="223" customFormat="1" ht="18" customHeight="1" x14ac:dyDescent="0.25">
      <c r="A36" s="221">
        <f t="shared" si="1"/>
        <v>9</v>
      </c>
      <c r="B36" s="205">
        <v>45787</v>
      </c>
      <c r="C36" s="206"/>
      <c r="D36" s="207" t="s">
        <v>12</v>
      </c>
      <c r="E36" s="208"/>
      <c r="F36" s="52">
        <v>128</v>
      </c>
      <c r="G36" s="203">
        <f t="shared" si="0"/>
        <v>183</v>
      </c>
      <c r="H36" s="209"/>
      <c r="I36" s="222"/>
    </row>
    <row r="37" spans="1:14" s="223" customFormat="1" ht="18" customHeight="1" x14ac:dyDescent="0.25">
      <c r="A37" s="221">
        <f t="shared" si="1"/>
        <v>10</v>
      </c>
      <c r="B37" s="205">
        <v>45789</v>
      </c>
      <c r="C37" s="206"/>
      <c r="D37" s="207" t="s">
        <v>12</v>
      </c>
      <c r="E37" s="208">
        <v>197</v>
      </c>
      <c r="F37" s="52"/>
      <c r="G37" s="203">
        <f t="shared" si="0"/>
        <v>380</v>
      </c>
      <c r="H37" s="209"/>
      <c r="I37" s="222"/>
    </row>
    <row r="38" spans="1:14" s="223" customFormat="1" ht="18" customHeight="1" x14ac:dyDescent="0.25">
      <c r="A38" s="221">
        <f t="shared" si="1"/>
        <v>11</v>
      </c>
      <c r="B38" s="205">
        <v>45791</v>
      </c>
      <c r="C38" s="206"/>
      <c r="D38" s="207" t="s">
        <v>12</v>
      </c>
      <c r="E38" s="208">
        <v>1560</v>
      </c>
      <c r="F38" s="52"/>
      <c r="G38" s="203">
        <f t="shared" si="0"/>
        <v>1940</v>
      </c>
      <c r="H38" s="209" t="s">
        <v>111</v>
      </c>
      <c r="I38" s="222"/>
    </row>
    <row r="39" spans="1:14" s="223" customFormat="1" ht="18" customHeight="1" x14ac:dyDescent="0.25">
      <c r="A39" s="221">
        <f t="shared" si="1"/>
        <v>12</v>
      </c>
      <c r="B39" s="205">
        <v>45792</v>
      </c>
      <c r="C39" s="206"/>
      <c r="D39" s="207" t="s">
        <v>12</v>
      </c>
      <c r="E39" s="208"/>
      <c r="F39" s="52">
        <f>84+11</f>
        <v>95</v>
      </c>
      <c r="G39" s="203">
        <f t="shared" si="0"/>
        <v>1845</v>
      </c>
      <c r="H39" s="209"/>
      <c r="I39" s="222"/>
    </row>
    <row r="40" spans="1:14" s="223" customFormat="1" ht="18" customHeight="1" x14ac:dyDescent="0.25">
      <c r="A40" s="221">
        <f t="shared" si="1"/>
        <v>13</v>
      </c>
      <c r="B40" s="205">
        <v>45793</v>
      </c>
      <c r="C40" s="206"/>
      <c r="D40" s="207" t="s">
        <v>12</v>
      </c>
      <c r="E40" s="208">
        <v>400</v>
      </c>
      <c r="F40" s="52">
        <v>167</v>
      </c>
      <c r="G40" s="203">
        <f t="shared" si="0"/>
        <v>2078</v>
      </c>
      <c r="H40" s="209" t="s">
        <v>111</v>
      </c>
      <c r="I40" s="222"/>
    </row>
    <row r="41" spans="1:14" s="223" customFormat="1" ht="18" customHeight="1" x14ac:dyDescent="0.25">
      <c r="A41" s="221">
        <f t="shared" si="1"/>
        <v>14</v>
      </c>
      <c r="B41" s="205">
        <v>45794</v>
      </c>
      <c r="C41" s="206"/>
      <c r="D41" s="207" t="s">
        <v>12</v>
      </c>
      <c r="E41" s="208"/>
      <c r="F41" s="52">
        <v>20</v>
      </c>
      <c r="G41" s="203">
        <f t="shared" si="0"/>
        <v>2058</v>
      </c>
      <c r="H41" s="209"/>
      <c r="I41" s="222"/>
    </row>
    <row r="42" spans="1:14" s="223" customFormat="1" ht="18" customHeight="1" x14ac:dyDescent="0.25">
      <c r="A42" s="221">
        <f t="shared" si="1"/>
        <v>15</v>
      </c>
      <c r="B42" s="205">
        <v>45796</v>
      </c>
      <c r="C42" s="206"/>
      <c r="D42" s="207" t="s">
        <v>12</v>
      </c>
      <c r="E42" s="208"/>
      <c r="F42" s="52">
        <v>126</v>
      </c>
      <c r="G42" s="203">
        <f t="shared" si="0"/>
        <v>1932</v>
      </c>
      <c r="H42" s="209" t="s">
        <v>104</v>
      </c>
      <c r="I42" s="222"/>
    </row>
    <row r="43" spans="1:14" s="223" customFormat="1" ht="18" customHeight="1" x14ac:dyDescent="0.25">
      <c r="A43" s="221">
        <f t="shared" si="1"/>
        <v>16</v>
      </c>
      <c r="B43" s="205">
        <v>45797</v>
      </c>
      <c r="C43" s="206"/>
      <c r="D43" s="207" t="s">
        <v>12</v>
      </c>
      <c r="E43" s="208">
        <v>1630</v>
      </c>
      <c r="F43" s="52">
        <v>186</v>
      </c>
      <c r="G43" s="203">
        <f t="shared" si="0"/>
        <v>3376</v>
      </c>
      <c r="H43" s="209" t="s">
        <v>111</v>
      </c>
      <c r="I43" s="222"/>
    </row>
    <row r="44" spans="1:14" s="223" customFormat="1" ht="18" customHeight="1" x14ac:dyDescent="0.25">
      <c r="A44" s="221">
        <f t="shared" si="1"/>
        <v>17</v>
      </c>
      <c r="B44" s="205">
        <v>45798</v>
      </c>
      <c r="C44" s="206"/>
      <c r="D44" s="207" t="s">
        <v>12</v>
      </c>
      <c r="E44" s="208"/>
      <c r="F44" s="52">
        <v>268</v>
      </c>
      <c r="G44" s="203">
        <f t="shared" si="0"/>
        <v>3108</v>
      </c>
      <c r="H44" s="209"/>
      <c r="I44" s="222"/>
    </row>
    <row r="45" spans="1:14" ht="18" customHeight="1" x14ac:dyDescent="0.25">
      <c r="A45" s="14">
        <f t="shared" si="1"/>
        <v>18</v>
      </c>
      <c r="B45" s="8">
        <v>45799</v>
      </c>
      <c r="C45" s="15"/>
      <c r="D45" s="10" t="s">
        <v>12</v>
      </c>
      <c r="E45" s="32"/>
      <c r="F45" s="27">
        <f>125+80</f>
        <v>205</v>
      </c>
      <c r="G45" s="18">
        <f t="shared" si="0"/>
        <v>2903</v>
      </c>
      <c r="H45" s="28"/>
      <c r="I45" s="7"/>
    </row>
    <row r="46" spans="1:14" ht="18" customHeight="1" x14ac:dyDescent="0.25">
      <c r="A46" s="14">
        <f t="shared" si="1"/>
        <v>19</v>
      </c>
      <c r="B46" s="8">
        <v>45800</v>
      </c>
      <c r="C46" s="15"/>
      <c r="D46" s="10" t="s">
        <v>12</v>
      </c>
      <c r="E46" s="32"/>
      <c r="F46" s="27">
        <v>63</v>
      </c>
      <c r="G46" s="18">
        <f t="shared" si="0"/>
        <v>2840</v>
      </c>
      <c r="H46" s="28"/>
      <c r="I46" s="7"/>
    </row>
    <row r="47" spans="1:14" ht="18" customHeight="1" x14ac:dyDescent="0.25">
      <c r="A47" s="14">
        <f t="shared" si="1"/>
        <v>20</v>
      </c>
      <c r="B47" s="8">
        <v>45801</v>
      </c>
      <c r="C47" s="15"/>
      <c r="D47" s="10" t="s">
        <v>12</v>
      </c>
      <c r="E47" s="32">
        <v>1620</v>
      </c>
      <c r="F47" s="27">
        <v>257</v>
      </c>
      <c r="G47" s="18">
        <f t="shared" si="0"/>
        <v>4203</v>
      </c>
      <c r="H47" s="28"/>
      <c r="I47" s="7"/>
      <c r="N47">
        <f>80*16</f>
        <v>1280</v>
      </c>
    </row>
    <row r="48" spans="1:14" ht="18" customHeight="1" x14ac:dyDescent="0.25">
      <c r="A48" s="14">
        <f t="shared" si="1"/>
        <v>21</v>
      </c>
      <c r="B48" s="8">
        <v>45803</v>
      </c>
      <c r="C48" s="15"/>
      <c r="D48" s="10" t="s">
        <v>12</v>
      </c>
      <c r="E48" s="32"/>
      <c r="F48" s="27">
        <v>206</v>
      </c>
      <c r="G48" s="18">
        <f t="shared" si="0"/>
        <v>3997</v>
      </c>
      <c r="H48" s="28"/>
      <c r="I48" s="7"/>
      <c r="K48" s="26">
        <f>+E38+E40+E43+E47</f>
        <v>5210</v>
      </c>
      <c r="L48" s="26">
        <f>+K48+372</f>
        <v>5582</v>
      </c>
    </row>
    <row r="49" spans="1:15" ht="18" customHeight="1" x14ac:dyDescent="0.25">
      <c r="A49" s="14">
        <f t="shared" si="1"/>
        <v>22</v>
      </c>
      <c r="B49" s="8">
        <v>45804</v>
      </c>
      <c r="C49" s="15"/>
      <c r="D49" s="10" t="s">
        <v>12</v>
      </c>
      <c r="E49" s="32"/>
      <c r="F49" s="27">
        <v>268</v>
      </c>
      <c r="G49" s="18">
        <f t="shared" si="0"/>
        <v>3729</v>
      </c>
      <c r="H49" s="28"/>
      <c r="I49" s="7"/>
      <c r="O49">
        <f>31*91</f>
        <v>2821</v>
      </c>
    </row>
    <row r="50" spans="1:15" ht="18" customHeight="1" x14ac:dyDescent="0.25">
      <c r="A50" s="14">
        <f t="shared" si="1"/>
        <v>23</v>
      </c>
      <c r="B50" s="8">
        <v>45805</v>
      </c>
      <c r="C50" s="15"/>
      <c r="D50" s="10" t="s">
        <v>12</v>
      </c>
      <c r="E50" s="32">
        <v>40</v>
      </c>
      <c r="F50" s="27">
        <v>273</v>
      </c>
      <c r="G50" s="18">
        <f t="shared" si="0"/>
        <v>3496</v>
      </c>
      <c r="H50" s="28"/>
      <c r="I50" s="7"/>
    </row>
    <row r="51" spans="1:15" ht="18" customHeight="1" x14ac:dyDescent="0.25">
      <c r="A51" s="14">
        <f t="shared" si="1"/>
        <v>24</v>
      </c>
      <c r="B51" s="8">
        <v>45806</v>
      </c>
      <c r="C51" s="15"/>
      <c r="D51" s="10" t="s">
        <v>12</v>
      </c>
      <c r="E51" s="32"/>
      <c r="F51" s="27">
        <v>253</v>
      </c>
      <c r="G51" s="18">
        <f t="shared" si="0"/>
        <v>3243</v>
      </c>
      <c r="H51" s="28"/>
      <c r="I51" s="7"/>
      <c r="L51">
        <f>6812-6703</f>
        <v>109</v>
      </c>
    </row>
    <row r="52" spans="1:15" ht="18" customHeight="1" x14ac:dyDescent="0.25">
      <c r="A52" s="14">
        <f t="shared" si="1"/>
        <v>25</v>
      </c>
      <c r="B52" s="8">
        <v>45807</v>
      </c>
      <c r="C52" s="15"/>
      <c r="D52" s="10" t="s">
        <v>12</v>
      </c>
      <c r="E52" s="234">
        <v>102</v>
      </c>
      <c r="F52" s="27">
        <v>203</v>
      </c>
      <c r="G52" s="18">
        <f t="shared" si="0"/>
        <v>3142</v>
      </c>
      <c r="H52" s="28"/>
      <c r="I52" s="7"/>
    </row>
    <row r="53" spans="1:15" s="181" customFormat="1" ht="18" customHeight="1" x14ac:dyDescent="0.25">
      <c r="A53" s="106">
        <f t="shared" si="1"/>
        <v>26</v>
      </c>
      <c r="B53" s="107">
        <v>45811</v>
      </c>
      <c r="C53" s="171"/>
      <c r="D53" s="159" t="s">
        <v>12</v>
      </c>
      <c r="E53" s="108"/>
      <c r="F53" s="31">
        <v>263</v>
      </c>
      <c r="G53" s="110">
        <f t="shared" si="0"/>
        <v>2879</v>
      </c>
      <c r="H53" s="198"/>
      <c r="I53" s="174"/>
    </row>
    <row r="54" spans="1:15" ht="18" customHeight="1" x14ac:dyDescent="0.25">
      <c r="A54" s="14">
        <f t="shared" si="1"/>
        <v>27</v>
      </c>
      <c r="B54" s="8">
        <v>45812</v>
      </c>
      <c r="C54" s="15"/>
      <c r="D54" s="10" t="s">
        <v>12</v>
      </c>
      <c r="E54" s="32"/>
      <c r="F54" s="27">
        <v>67</v>
      </c>
      <c r="G54" s="18">
        <f t="shared" si="0"/>
        <v>2812</v>
      </c>
      <c r="H54" s="28"/>
      <c r="I54" s="7"/>
    </row>
    <row r="55" spans="1:15" ht="18" customHeight="1" x14ac:dyDescent="0.25">
      <c r="A55" s="14">
        <f t="shared" si="1"/>
        <v>28</v>
      </c>
      <c r="B55" s="8">
        <v>45813</v>
      </c>
      <c r="C55" s="15"/>
      <c r="D55" s="10" t="s">
        <v>12</v>
      </c>
      <c r="E55" s="32"/>
      <c r="F55" s="27">
        <v>331</v>
      </c>
      <c r="G55" s="18">
        <f t="shared" si="0"/>
        <v>2481</v>
      </c>
      <c r="H55" s="28"/>
      <c r="I55" s="7"/>
    </row>
    <row r="56" spans="1:15" ht="18" customHeight="1" x14ac:dyDescent="0.25">
      <c r="A56" s="14">
        <f t="shared" si="1"/>
        <v>29</v>
      </c>
      <c r="B56" s="8">
        <v>45814</v>
      </c>
      <c r="C56" s="15"/>
      <c r="D56" s="10" t="s">
        <v>12</v>
      </c>
      <c r="E56" s="32"/>
      <c r="F56" s="27">
        <v>261</v>
      </c>
      <c r="G56" s="18">
        <f t="shared" si="0"/>
        <v>2220</v>
      </c>
      <c r="H56" s="28"/>
      <c r="I56" s="7"/>
      <c r="M56">
        <f>28*10+46+1</f>
        <v>327</v>
      </c>
    </row>
    <row r="57" spans="1:15" ht="18" customHeight="1" x14ac:dyDescent="0.25">
      <c r="A57" s="14">
        <f t="shared" si="1"/>
        <v>30</v>
      </c>
      <c r="B57" s="8">
        <v>45817</v>
      </c>
      <c r="C57" s="15"/>
      <c r="D57" s="10" t="s">
        <v>12</v>
      </c>
      <c r="E57" s="32"/>
      <c r="F57" s="27">
        <v>70</v>
      </c>
      <c r="G57" s="18">
        <f t="shared" si="0"/>
        <v>2150</v>
      </c>
      <c r="H57" s="28"/>
      <c r="I57" s="7"/>
      <c r="M57">
        <f>33+1+22+1+2+25*10+25*10+23*10+25*10+10+24*10+30*10+25*10+100</f>
        <v>1939</v>
      </c>
      <c r="O57">
        <f>3040+101</f>
        <v>3141</v>
      </c>
    </row>
    <row r="58" spans="1:15" ht="18" customHeight="1" x14ac:dyDescent="0.25">
      <c r="A58" s="14">
        <f t="shared" si="1"/>
        <v>31</v>
      </c>
      <c r="B58" s="8">
        <v>45819</v>
      </c>
      <c r="C58" s="15"/>
      <c r="D58" s="10" t="s">
        <v>12</v>
      </c>
      <c r="E58" s="32"/>
      <c r="F58" s="27">
        <v>193</v>
      </c>
      <c r="G58" s="18">
        <f t="shared" si="0"/>
        <v>1957</v>
      </c>
      <c r="H58" s="28"/>
      <c r="I58" s="7"/>
    </row>
    <row r="59" spans="1:15" ht="18" customHeight="1" x14ac:dyDescent="0.25">
      <c r="A59" s="14">
        <f t="shared" si="1"/>
        <v>32</v>
      </c>
      <c r="B59" s="8">
        <v>45820</v>
      </c>
      <c r="C59" s="15"/>
      <c r="D59" s="10" t="s">
        <v>12</v>
      </c>
      <c r="E59" s="232"/>
      <c r="F59" s="27">
        <v>324</v>
      </c>
      <c r="G59" s="18">
        <f t="shared" si="0"/>
        <v>1633</v>
      </c>
      <c r="H59" s="28"/>
      <c r="I59" s="7"/>
    </row>
    <row r="60" spans="1:15" ht="18" customHeight="1" x14ac:dyDescent="0.25">
      <c r="A60" s="14">
        <f t="shared" si="1"/>
        <v>33</v>
      </c>
      <c r="B60" s="8">
        <v>45821</v>
      </c>
      <c r="C60" s="15"/>
      <c r="D60" s="10" t="s">
        <v>12</v>
      </c>
      <c r="E60" s="32"/>
      <c r="F60" s="27">
        <v>272</v>
      </c>
      <c r="G60" s="18">
        <f t="shared" si="0"/>
        <v>1361</v>
      </c>
      <c r="H60" s="28"/>
      <c r="I60" s="7"/>
    </row>
    <row r="61" spans="1:15" ht="18" customHeight="1" x14ac:dyDescent="0.25">
      <c r="A61" s="14">
        <f t="shared" si="1"/>
        <v>34</v>
      </c>
      <c r="B61" s="8">
        <v>45822</v>
      </c>
      <c r="C61" s="15"/>
      <c r="D61" s="10" t="s">
        <v>12</v>
      </c>
      <c r="E61" s="32"/>
      <c r="F61" s="27">
        <v>267</v>
      </c>
      <c r="G61" s="18">
        <f t="shared" si="0"/>
        <v>1094</v>
      </c>
      <c r="H61" s="28"/>
      <c r="I61" s="7"/>
    </row>
    <row r="62" spans="1:15" ht="18" customHeight="1" x14ac:dyDescent="0.25">
      <c r="A62" s="14">
        <f t="shared" si="1"/>
        <v>35</v>
      </c>
      <c r="B62" s="8">
        <v>45825</v>
      </c>
      <c r="C62" s="15"/>
      <c r="D62" s="10" t="s">
        <v>12</v>
      </c>
      <c r="E62" s="32"/>
      <c r="F62" s="27">
        <f>66+117</f>
        <v>183</v>
      </c>
      <c r="G62" s="18">
        <f t="shared" si="0"/>
        <v>911</v>
      </c>
      <c r="H62" s="28"/>
      <c r="I62" s="7" t="s">
        <v>117</v>
      </c>
    </row>
    <row r="63" spans="1:15" ht="18" customHeight="1" x14ac:dyDescent="0.25">
      <c r="A63" s="14">
        <f t="shared" si="1"/>
        <v>36</v>
      </c>
      <c r="B63" s="8">
        <v>45826</v>
      </c>
      <c r="C63" s="15"/>
      <c r="D63" s="10" t="s">
        <v>12</v>
      </c>
      <c r="E63" s="32"/>
      <c r="F63" s="27">
        <f>341-23</f>
        <v>318</v>
      </c>
      <c r="G63" s="18">
        <f t="shared" si="0"/>
        <v>593</v>
      </c>
      <c r="H63" s="28"/>
      <c r="I63" s="29"/>
    </row>
    <row r="64" spans="1:15" ht="18" customHeight="1" x14ac:dyDescent="0.25">
      <c r="A64" s="14">
        <f t="shared" si="1"/>
        <v>37</v>
      </c>
      <c r="B64" s="8">
        <v>45827</v>
      </c>
      <c r="C64" s="15"/>
      <c r="D64" s="10" t="s">
        <v>12</v>
      </c>
      <c r="E64" s="32"/>
      <c r="F64" s="27">
        <f>280-7</f>
        <v>273</v>
      </c>
      <c r="G64" s="18">
        <f t="shared" si="0"/>
        <v>320</v>
      </c>
      <c r="H64" s="28"/>
      <c r="I64" s="29" t="s">
        <v>120</v>
      </c>
      <c r="M64">
        <f>408-7</f>
        <v>401</v>
      </c>
    </row>
    <row r="65" spans="1:17" ht="18" customHeight="1" x14ac:dyDescent="0.25">
      <c r="A65" s="14">
        <f t="shared" si="1"/>
        <v>38</v>
      </c>
      <c r="B65" s="8">
        <v>45828</v>
      </c>
      <c r="C65" s="15"/>
      <c r="D65" s="10" t="s">
        <v>12</v>
      </c>
      <c r="E65" s="32">
        <v>4400</v>
      </c>
      <c r="F65" s="27">
        <f>128-1</f>
        <v>127</v>
      </c>
      <c r="G65" s="18">
        <f t="shared" si="0"/>
        <v>4593</v>
      </c>
      <c r="H65" s="28"/>
      <c r="I65" s="29" t="s">
        <v>121</v>
      </c>
      <c r="P65">
        <f>1056+1621+260</f>
        <v>2937</v>
      </c>
      <c r="Q65">
        <f>+P65*0.894</f>
        <v>2625.6779999999999</v>
      </c>
    </row>
    <row r="66" spans="1:17" ht="18" customHeight="1" x14ac:dyDescent="0.25">
      <c r="A66" s="14">
        <f t="shared" si="1"/>
        <v>39</v>
      </c>
      <c r="B66" s="8">
        <v>45829</v>
      </c>
      <c r="C66" s="15"/>
      <c r="D66" s="10"/>
      <c r="E66" s="32"/>
      <c r="F66" s="27">
        <v>208</v>
      </c>
      <c r="G66" s="18">
        <f t="shared" si="0"/>
        <v>4385</v>
      </c>
      <c r="H66" s="28"/>
      <c r="I66" s="29"/>
    </row>
    <row r="67" spans="1:17" ht="18" customHeight="1" x14ac:dyDescent="0.25">
      <c r="A67" s="14">
        <f t="shared" si="1"/>
        <v>40</v>
      </c>
      <c r="B67" s="8">
        <v>45833</v>
      </c>
      <c r="C67" s="15"/>
      <c r="D67" s="10"/>
      <c r="E67" s="32"/>
      <c r="F67" s="27">
        <f>272-7</f>
        <v>265</v>
      </c>
      <c r="G67" s="18">
        <f t="shared" si="0"/>
        <v>4120</v>
      </c>
      <c r="H67" s="28"/>
      <c r="I67" s="29" t="s">
        <v>120</v>
      </c>
    </row>
    <row r="68" spans="1:17" ht="18" customHeight="1" x14ac:dyDescent="0.25">
      <c r="A68" s="14">
        <f t="shared" si="1"/>
        <v>41</v>
      </c>
      <c r="B68" s="8">
        <v>45836</v>
      </c>
      <c r="C68" s="15"/>
      <c r="D68" s="10"/>
      <c r="E68" s="32">
        <v>2000</v>
      </c>
      <c r="F68" s="27">
        <v>211</v>
      </c>
      <c r="G68" s="18">
        <f t="shared" si="0"/>
        <v>5909</v>
      </c>
      <c r="H68" s="28"/>
      <c r="I68" s="29"/>
      <c r="K68">
        <f>592-490</f>
        <v>102</v>
      </c>
    </row>
    <row r="69" spans="1:17" s="248" customFormat="1" ht="18" customHeight="1" x14ac:dyDescent="0.25">
      <c r="A69" s="240">
        <f t="shared" si="1"/>
        <v>42</v>
      </c>
      <c r="B69" s="241">
        <v>45838</v>
      </c>
      <c r="C69" s="242"/>
      <c r="D69" s="243"/>
      <c r="E69" s="244"/>
      <c r="F69" s="245">
        <f>314-3-26</f>
        <v>285</v>
      </c>
      <c r="G69" s="246">
        <f t="shared" si="0"/>
        <v>5624</v>
      </c>
      <c r="H69" s="247"/>
      <c r="I69" s="242" t="s">
        <v>124</v>
      </c>
    </row>
    <row r="70" spans="1:17" ht="18" customHeight="1" x14ac:dyDescent="0.25">
      <c r="A70" s="14">
        <v>43</v>
      </c>
      <c r="B70" s="8">
        <v>45840</v>
      </c>
      <c r="C70" s="15"/>
      <c r="D70" s="10"/>
      <c r="E70" s="32"/>
      <c r="F70" s="27">
        <v>258</v>
      </c>
      <c r="G70" s="18">
        <f>+G69+E70-F70</f>
        <v>5366</v>
      </c>
      <c r="H70" s="28"/>
      <c r="I70" s="29"/>
    </row>
    <row r="71" spans="1:17" ht="18" customHeight="1" x14ac:dyDescent="0.25">
      <c r="A71" s="14">
        <v>44</v>
      </c>
      <c r="B71" s="8">
        <v>45750</v>
      </c>
      <c r="C71" s="15"/>
      <c r="D71" s="10"/>
      <c r="E71" s="32"/>
      <c r="F71" s="27">
        <f>243-10</f>
        <v>233</v>
      </c>
      <c r="G71" s="18">
        <f t="shared" si="0"/>
        <v>5133</v>
      </c>
      <c r="H71" s="28"/>
      <c r="I71" s="29" t="s">
        <v>125</v>
      </c>
      <c r="M71">
        <f>5624-5526</f>
        <v>98</v>
      </c>
    </row>
    <row r="72" spans="1:17" ht="18" customHeight="1" x14ac:dyDescent="0.25">
      <c r="A72" s="14">
        <v>45</v>
      </c>
      <c r="B72" s="8">
        <v>45842</v>
      </c>
      <c r="C72" s="15"/>
      <c r="D72" s="10"/>
      <c r="E72" s="32"/>
      <c r="F72" s="27">
        <v>209</v>
      </c>
      <c r="G72" s="18">
        <f t="shared" si="0"/>
        <v>4924</v>
      </c>
      <c r="H72" s="28"/>
      <c r="I72" s="29"/>
    </row>
    <row r="73" spans="1:17" ht="18" customHeight="1" x14ac:dyDescent="0.25">
      <c r="A73" s="14"/>
      <c r="B73" s="8">
        <v>45846</v>
      </c>
      <c r="C73" s="15"/>
      <c r="D73" s="10"/>
      <c r="E73" s="32">
        <v>1420</v>
      </c>
      <c r="F73" s="27"/>
      <c r="G73" s="18">
        <f t="shared" si="0"/>
        <v>6344</v>
      </c>
      <c r="H73" s="28"/>
      <c r="I73" s="29"/>
    </row>
    <row r="74" spans="1:17" ht="18" customHeight="1" x14ac:dyDescent="0.25">
      <c r="A74" s="14">
        <v>46</v>
      </c>
      <c r="B74" s="8">
        <v>45847</v>
      </c>
      <c r="C74" s="15"/>
      <c r="D74" s="10"/>
      <c r="E74" s="32"/>
      <c r="F74" s="27">
        <f>283-8</f>
        <v>275</v>
      </c>
      <c r="G74" s="18">
        <f t="shared" si="0"/>
        <v>6069</v>
      </c>
      <c r="H74" s="28"/>
      <c r="I74" s="29" t="s">
        <v>133</v>
      </c>
    </row>
    <row r="75" spans="1:17" ht="18" customHeight="1" x14ac:dyDescent="0.25">
      <c r="A75" s="14">
        <v>47</v>
      </c>
      <c r="B75" s="8">
        <v>45848</v>
      </c>
      <c r="C75" s="15"/>
      <c r="D75" s="10"/>
      <c r="E75" s="32"/>
      <c r="F75" s="27">
        <f>331-8</f>
        <v>323</v>
      </c>
      <c r="G75" s="18">
        <f t="shared" si="0"/>
        <v>5746</v>
      </c>
      <c r="H75" s="28"/>
      <c r="I75" s="29" t="s">
        <v>133</v>
      </c>
    </row>
    <row r="76" spans="1:17" ht="18" customHeight="1" x14ac:dyDescent="0.25">
      <c r="A76" s="14">
        <v>48</v>
      </c>
      <c r="B76" s="8">
        <v>45849</v>
      </c>
      <c r="C76" s="15"/>
      <c r="D76" s="10"/>
      <c r="E76" s="32"/>
      <c r="F76" s="27">
        <f>275-9</f>
        <v>266</v>
      </c>
      <c r="G76" s="18">
        <f t="shared" si="0"/>
        <v>5480</v>
      </c>
      <c r="H76" s="28"/>
      <c r="I76" s="29" t="s">
        <v>132</v>
      </c>
    </row>
    <row r="77" spans="1:17" ht="18" customHeight="1" x14ac:dyDescent="0.25">
      <c r="A77" s="14">
        <v>49</v>
      </c>
      <c r="B77" s="8">
        <v>45850</v>
      </c>
      <c r="C77" s="15"/>
      <c r="D77" s="10"/>
      <c r="E77" s="32"/>
      <c r="F77" s="27">
        <v>270</v>
      </c>
      <c r="G77" s="18">
        <f t="shared" si="0"/>
        <v>5210</v>
      </c>
      <c r="H77" s="28"/>
      <c r="I77" s="29"/>
    </row>
    <row r="78" spans="1:17" ht="18" customHeight="1" x14ac:dyDescent="0.25">
      <c r="A78" s="14">
        <v>50</v>
      </c>
      <c r="B78" s="8">
        <v>45852</v>
      </c>
      <c r="C78" s="15"/>
      <c r="D78" s="10"/>
      <c r="E78" s="32">
        <v>586</v>
      </c>
      <c r="F78" s="27">
        <v>268</v>
      </c>
      <c r="G78" s="18">
        <f t="shared" si="0"/>
        <v>5528</v>
      </c>
      <c r="H78" s="28"/>
      <c r="I78" s="29"/>
    </row>
    <row r="79" spans="1:17" ht="18" customHeight="1" x14ac:dyDescent="0.25">
      <c r="A79" s="14">
        <v>51</v>
      </c>
      <c r="B79" s="8">
        <v>45853</v>
      </c>
      <c r="C79" s="15"/>
      <c r="D79" s="10"/>
      <c r="E79" s="32"/>
      <c r="F79" s="27">
        <v>206</v>
      </c>
      <c r="G79" s="18">
        <f t="shared" si="0"/>
        <v>5322</v>
      </c>
      <c r="H79" s="28"/>
      <c r="I79" s="29"/>
    </row>
    <row r="80" spans="1:17" ht="18" customHeight="1" x14ac:dyDescent="0.25">
      <c r="A80" s="14">
        <v>52</v>
      </c>
      <c r="B80" s="8">
        <v>45854</v>
      </c>
      <c r="C80" s="15"/>
      <c r="D80" s="10"/>
      <c r="E80" s="32">
        <v>1900</v>
      </c>
      <c r="F80" s="27">
        <f>275-7</f>
        <v>268</v>
      </c>
      <c r="G80" s="18">
        <f t="shared" si="0"/>
        <v>6954</v>
      </c>
      <c r="H80" s="28"/>
      <c r="I80" s="29" t="s">
        <v>135</v>
      </c>
    </row>
    <row r="81" spans="1:12" ht="18" customHeight="1" x14ac:dyDescent="0.25">
      <c r="A81" s="14">
        <v>53</v>
      </c>
      <c r="B81" s="8">
        <v>45855</v>
      </c>
      <c r="C81" s="15"/>
      <c r="D81" s="10"/>
      <c r="E81" s="32"/>
      <c r="F81" s="27">
        <f>277-7</f>
        <v>270</v>
      </c>
      <c r="G81" s="18">
        <f t="shared" si="0"/>
        <v>6684</v>
      </c>
      <c r="H81" s="28"/>
      <c r="I81" s="29" t="s">
        <v>135</v>
      </c>
    </row>
    <row r="82" spans="1:12" ht="18" customHeight="1" x14ac:dyDescent="0.25">
      <c r="A82" s="14">
        <v>54</v>
      </c>
      <c r="B82" s="8">
        <v>45856</v>
      </c>
      <c r="C82" s="15"/>
      <c r="D82" s="10"/>
      <c r="E82" s="32"/>
      <c r="F82" s="27">
        <f>274-6</f>
        <v>268</v>
      </c>
      <c r="G82" s="18">
        <f t="shared" si="0"/>
        <v>6416</v>
      </c>
      <c r="H82" s="28"/>
      <c r="I82" s="29" t="s">
        <v>136</v>
      </c>
    </row>
    <row r="83" spans="1:12" ht="18" customHeight="1" x14ac:dyDescent="0.25">
      <c r="A83" s="14">
        <v>55</v>
      </c>
      <c r="B83" s="8">
        <v>45861</v>
      </c>
      <c r="C83" s="15"/>
      <c r="D83" s="10"/>
      <c r="E83" s="32"/>
      <c r="F83" s="27">
        <f>207-6</f>
        <v>201</v>
      </c>
      <c r="G83" s="18">
        <f t="shared" si="0"/>
        <v>6215</v>
      </c>
      <c r="H83" s="28"/>
      <c r="I83" s="29" t="s">
        <v>136</v>
      </c>
    </row>
    <row r="84" spans="1:12" ht="18" customHeight="1" x14ac:dyDescent="0.25">
      <c r="A84" s="14">
        <v>56</v>
      </c>
      <c r="B84" s="8">
        <v>45862</v>
      </c>
      <c r="C84" s="15"/>
      <c r="D84" s="10"/>
      <c r="E84" s="32"/>
      <c r="F84" s="27">
        <f>272-12</f>
        <v>260</v>
      </c>
      <c r="G84" s="18">
        <f t="shared" si="0"/>
        <v>5955</v>
      </c>
      <c r="H84" s="28"/>
      <c r="I84" s="29" t="s">
        <v>137</v>
      </c>
    </row>
    <row r="85" spans="1:12" ht="18" customHeight="1" x14ac:dyDescent="0.25">
      <c r="A85" s="14">
        <v>57</v>
      </c>
      <c r="B85" s="8">
        <v>45863</v>
      </c>
      <c r="C85" s="15"/>
      <c r="D85" s="10"/>
      <c r="E85" s="32">
        <v>400</v>
      </c>
      <c r="F85" s="27">
        <f>275-5-2</f>
        <v>268</v>
      </c>
      <c r="G85" s="18">
        <f t="shared" si="0"/>
        <v>6087</v>
      </c>
      <c r="H85" s="28"/>
      <c r="I85" s="29" t="s">
        <v>138</v>
      </c>
    </row>
    <row r="86" spans="1:12" ht="18" customHeight="1" x14ac:dyDescent="0.25">
      <c r="A86" s="14">
        <v>58</v>
      </c>
      <c r="B86" s="8">
        <v>45864</v>
      </c>
      <c r="C86" s="15"/>
      <c r="D86" s="10"/>
      <c r="E86" s="32"/>
      <c r="F86" s="27">
        <v>257</v>
      </c>
      <c r="G86" s="18">
        <f t="shared" si="0"/>
        <v>5830</v>
      </c>
      <c r="H86" s="28"/>
      <c r="I86" s="29"/>
    </row>
    <row r="87" spans="1:12" ht="18" customHeight="1" x14ac:dyDescent="0.25">
      <c r="A87" s="14">
        <v>59</v>
      </c>
      <c r="B87" s="8">
        <v>45866</v>
      </c>
      <c r="C87" s="15"/>
      <c r="D87" s="10"/>
      <c r="E87" s="32"/>
      <c r="F87" s="27">
        <v>254</v>
      </c>
      <c r="G87" s="18">
        <f t="shared" si="0"/>
        <v>5576</v>
      </c>
      <c r="H87" s="28"/>
      <c r="I87" s="29"/>
    </row>
    <row r="88" spans="1:12" ht="18" customHeight="1" x14ac:dyDescent="0.25">
      <c r="A88" s="14">
        <v>60</v>
      </c>
      <c r="B88" s="8">
        <v>45867</v>
      </c>
      <c r="C88" s="15"/>
      <c r="D88" s="10"/>
      <c r="E88" s="32"/>
      <c r="F88" s="27">
        <f>244-6</f>
        <v>238</v>
      </c>
      <c r="G88" s="18">
        <f t="shared" si="0"/>
        <v>5338</v>
      </c>
      <c r="H88" s="28"/>
      <c r="I88" s="29" t="s">
        <v>140</v>
      </c>
    </row>
    <row r="89" spans="1:12" ht="18" customHeight="1" x14ac:dyDescent="0.25">
      <c r="A89" s="14">
        <v>61</v>
      </c>
      <c r="B89" s="8">
        <v>45871</v>
      </c>
      <c r="C89" s="15"/>
      <c r="D89" s="10"/>
      <c r="E89" s="32"/>
      <c r="F89" s="27">
        <f>237-2</f>
        <v>235</v>
      </c>
      <c r="G89" s="18">
        <f t="shared" si="0"/>
        <v>5103</v>
      </c>
      <c r="H89" s="28"/>
      <c r="I89" s="29" t="s">
        <v>141</v>
      </c>
    </row>
    <row r="90" spans="1:12" ht="18" customHeight="1" x14ac:dyDescent="0.25">
      <c r="A90" s="14">
        <v>62</v>
      </c>
      <c r="B90" s="8">
        <v>45873</v>
      </c>
      <c r="C90" s="15"/>
      <c r="D90" s="10"/>
      <c r="E90" s="32"/>
      <c r="F90" s="27">
        <f>189-2</f>
        <v>187</v>
      </c>
      <c r="G90" s="18">
        <f t="shared" si="0"/>
        <v>4916</v>
      </c>
      <c r="H90" s="28"/>
      <c r="I90" s="29" t="s">
        <v>141</v>
      </c>
    </row>
    <row r="91" spans="1:12" ht="18" customHeight="1" x14ac:dyDescent="0.25">
      <c r="A91" s="14">
        <v>63</v>
      </c>
      <c r="B91" s="8">
        <v>45874</v>
      </c>
      <c r="C91" s="15"/>
      <c r="D91" s="10"/>
      <c r="E91" s="32"/>
      <c r="F91" s="27">
        <f>317-8</f>
        <v>309</v>
      </c>
      <c r="G91" s="18">
        <f t="shared" si="0"/>
        <v>4607</v>
      </c>
      <c r="H91" s="28"/>
      <c r="I91" s="29" t="s">
        <v>142</v>
      </c>
      <c r="L91">
        <f>121/16</f>
        <v>7.5625</v>
      </c>
    </row>
    <row r="92" spans="1:12" ht="18" customHeight="1" x14ac:dyDescent="0.25">
      <c r="A92" s="14">
        <v>64</v>
      </c>
      <c r="B92" s="8">
        <v>45875</v>
      </c>
      <c r="C92" s="15"/>
      <c r="D92" s="10"/>
      <c r="E92" s="32"/>
      <c r="F92" s="27">
        <f>242-4</f>
        <v>238</v>
      </c>
      <c r="G92" s="18">
        <f t="shared" si="0"/>
        <v>4369</v>
      </c>
      <c r="H92" s="28"/>
      <c r="I92" s="29" t="s">
        <v>144</v>
      </c>
    </row>
    <row r="93" spans="1:12" ht="18" customHeight="1" x14ac:dyDescent="0.25">
      <c r="A93" s="14">
        <v>65</v>
      </c>
      <c r="B93" s="8">
        <v>45876</v>
      </c>
      <c r="C93" s="15"/>
      <c r="D93" s="10"/>
      <c r="E93" s="32"/>
      <c r="F93" s="27">
        <f>250-9</f>
        <v>241</v>
      </c>
      <c r="G93" s="18">
        <f t="shared" si="0"/>
        <v>4128</v>
      </c>
      <c r="H93" s="28"/>
      <c r="I93" s="29" t="s">
        <v>143</v>
      </c>
    </row>
    <row r="94" spans="1:12" ht="18" customHeight="1" x14ac:dyDescent="0.25">
      <c r="A94" s="14">
        <v>66</v>
      </c>
      <c r="B94" s="8">
        <v>45877</v>
      </c>
      <c r="C94" s="15"/>
      <c r="D94" s="10"/>
      <c r="E94" s="32"/>
      <c r="F94" s="27"/>
      <c r="G94" s="18">
        <f t="shared" si="0"/>
        <v>4128</v>
      </c>
      <c r="H94" s="28"/>
      <c r="I94" s="29"/>
    </row>
    <row r="95" spans="1:12" ht="18" customHeight="1" x14ac:dyDescent="0.25">
      <c r="A95" s="14">
        <v>67</v>
      </c>
      <c r="B95" s="8">
        <v>45882</v>
      </c>
      <c r="C95" s="15"/>
      <c r="D95" s="10"/>
      <c r="E95" s="32"/>
      <c r="F95" s="27">
        <v>63</v>
      </c>
      <c r="G95" s="18">
        <f t="shared" si="0"/>
        <v>4065</v>
      </c>
      <c r="H95" s="28"/>
      <c r="I95" s="29"/>
      <c r="L95">
        <f>5338-5240</f>
        <v>98</v>
      </c>
    </row>
    <row r="96" spans="1:12" ht="18" customHeight="1" x14ac:dyDescent="0.25">
      <c r="A96" s="14">
        <v>68</v>
      </c>
      <c r="B96" s="8">
        <v>45883</v>
      </c>
      <c r="C96" s="15"/>
      <c r="D96" s="10"/>
      <c r="E96" s="32"/>
      <c r="F96" s="27">
        <f>310-13</f>
        <v>297</v>
      </c>
      <c r="G96" s="18">
        <f t="shared" si="0"/>
        <v>3768</v>
      </c>
      <c r="H96" s="28"/>
      <c r="I96" s="29" t="s">
        <v>145</v>
      </c>
    </row>
    <row r="97" spans="1:15" ht="18" customHeight="1" x14ac:dyDescent="0.25">
      <c r="A97" s="14">
        <v>69</v>
      </c>
      <c r="B97" s="8">
        <v>45884</v>
      </c>
      <c r="C97" s="15"/>
      <c r="D97" s="10"/>
      <c r="E97" s="32"/>
      <c r="F97" s="27">
        <f>148-13</f>
        <v>135</v>
      </c>
      <c r="G97" s="18">
        <f t="shared" si="0"/>
        <v>3633</v>
      </c>
      <c r="H97" s="28"/>
      <c r="I97" s="29" t="s">
        <v>145</v>
      </c>
    </row>
    <row r="98" spans="1:15" ht="18" customHeight="1" x14ac:dyDescent="0.25">
      <c r="A98" s="14">
        <v>70</v>
      </c>
      <c r="B98" s="8">
        <v>45885</v>
      </c>
      <c r="C98" s="15"/>
      <c r="D98" s="10"/>
      <c r="E98" s="32"/>
      <c r="F98" s="27">
        <v>59</v>
      </c>
      <c r="G98" s="18">
        <f t="shared" si="0"/>
        <v>3574</v>
      </c>
      <c r="H98" s="28"/>
      <c r="I98" s="29"/>
    </row>
    <row r="99" spans="1:15" ht="18" customHeight="1" x14ac:dyDescent="0.25">
      <c r="A99" s="14">
        <v>71</v>
      </c>
      <c r="B99" s="8">
        <v>45887</v>
      </c>
      <c r="C99" s="15"/>
      <c r="D99" s="10"/>
      <c r="E99" s="32"/>
      <c r="F99" s="27">
        <f>263-6</f>
        <v>257</v>
      </c>
      <c r="G99" s="18">
        <f t="shared" si="0"/>
        <v>3317</v>
      </c>
      <c r="H99" s="28"/>
      <c r="I99" s="29" t="s">
        <v>140</v>
      </c>
    </row>
    <row r="100" spans="1:15" ht="18" customHeight="1" x14ac:dyDescent="0.25">
      <c r="A100" s="14">
        <v>72</v>
      </c>
      <c r="B100" s="8">
        <v>45888</v>
      </c>
      <c r="C100" s="15"/>
      <c r="D100" s="10"/>
      <c r="E100" s="32"/>
      <c r="F100" s="27">
        <f>339-11</f>
        <v>328</v>
      </c>
      <c r="G100" s="18">
        <f t="shared" si="0"/>
        <v>2989</v>
      </c>
      <c r="H100" s="28"/>
      <c r="I100" s="29" t="s">
        <v>146</v>
      </c>
    </row>
    <row r="101" spans="1:15" ht="18" customHeight="1" x14ac:dyDescent="0.25">
      <c r="A101" s="14">
        <v>73</v>
      </c>
      <c r="B101" s="8">
        <v>45889</v>
      </c>
      <c r="C101" s="15"/>
      <c r="D101" s="10"/>
      <c r="E101" s="32"/>
      <c r="F101" s="27">
        <f>276-10</f>
        <v>266</v>
      </c>
      <c r="G101" s="18">
        <f t="shared" si="0"/>
        <v>2723</v>
      </c>
      <c r="H101" s="28"/>
      <c r="I101" s="29"/>
    </row>
    <row r="102" spans="1:15" ht="18" customHeight="1" x14ac:dyDescent="0.25">
      <c r="A102" s="14">
        <v>74</v>
      </c>
      <c r="B102" s="8">
        <v>45889</v>
      </c>
      <c r="C102" s="15"/>
      <c r="D102" s="10"/>
      <c r="E102" s="32"/>
      <c r="F102" s="27">
        <v>18</v>
      </c>
      <c r="G102" s="18">
        <f t="shared" si="0"/>
        <v>2705</v>
      </c>
      <c r="H102" s="28"/>
      <c r="I102" s="29" t="s">
        <v>148</v>
      </c>
      <c r="O102">
        <f>30+30+30+20</f>
        <v>110</v>
      </c>
    </row>
    <row r="103" spans="1:15" ht="18" customHeight="1" x14ac:dyDescent="0.25">
      <c r="A103" s="14">
        <v>75</v>
      </c>
      <c r="B103" s="8">
        <v>45903</v>
      </c>
      <c r="C103" s="15"/>
      <c r="D103" s="10"/>
      <c r="E103" s="32"/>
      <c r="F103" s="27">
        <f>73-2</f>
        <v>71</v>
      </c>
      <c r="G103" s="18">
        <f t="shared" si="0"/>
        <v>2634</v>
      </c>
      <c r="H103" s="28"/>
      <c r="I103" s="29" t="s">
        <v>141</v>
      </c>
    </row>
    <row r="104" spans="1:15" ht="18" customHeight="1" x14ac:dyDescent="0.25">
      <c r="A104" s="14">
        <v>76</v>
      </c>
      <c r="B104" s="8">
        <v>45904</v>
      </c>
      <c r="C104" s="15"/>
      <c r="D104" s="10"/>
      <c r="E104" s="32"/>
      <c r="F104" s="27">
        <f>201+60</f>
        <v>261</v>
      </c>
      <c r="G104" s="18">
        <f t="shared" si="0"/>
        <v>2373</v>
      </c>
      <c r="H104" s="28"/>
      <c r="I104" s="29"/>
    </row>
    <row r="105" spans="1:15" ht="18" customHeight="1" x14ac:dyDescent="0.25">
      <c r="A105" s="14">
        <v>77</v>
      </c>
      <c r="B105" s="8">
        <v>45905</v>
      </c>
      <c r="C105" s="15"/>
      <c r="D105" s="10"/>
      <c r="E105" s="32"/>
      <c r="F105" s="27">
        <f>173+5</f>
        <v>178</v>
      </c>
      <c r="G105" s="18">
        <f t="shared" si="0"/>
        <v>2195</v>
      </c>
      <c r="H105" s="28"/>
      <c r="I105" s="29"/>
    </row>
    <row r="106" spans="1:15" ht="18" customHeight="1" x14ac:dyDescent="0.25">
      <c r="A106" s="14">
        <v>78</v>
      </c>
      <c r="B106" s="8">
        <v>45906</v>
      </c>
      <c r="C106" s="15"/>
      <c r="D106" s="10"/>
      <c r="E106" s="32"/>
      <c r="F106" s="27">
        <f>271-11</f>
        <v>260</v>
      </c>
      <c r="G106" s="18">
        <f t="shared" si="0"/>
        <v>1935</v>
      </c>
      <c r="H106" s="28"/>
      <c r="I106" s="29"/>
    </row>
    <row r="107" spans="1:15" ht="18" customHeight="1" x14ac:dyDescent="0.25">
      <c r="A107" s="14">
        <v>79</v>
      </c>
      <c r="B107" s="8">
        <v>45908</v>
      </c>
      <c r="C107" s="15"/>
      <c r="D107" s="10"/>
      <c r="E107" s="32"/>
      <c r="F107" s="27">
        <f>258-6</f>
        <v>252</v>
      </c>
      <c r="G107" s="18">
        <f t="shared" si="0"/>
        <v>1683</v>
      </c>
      <c r="H107" s="28"/>
      <c r="I107" s="29"/>
    </row>
    <row r="108" spans="1:15" ht="18" customHeight="1" x14ac:dyDescent="0.25">
      <c r="A108" s="14">
        <v>80</v>
      </c>
      <c r="B108" s="8">
        <v>45909</v>
      </c>
      <c r="C108" s="15"/>
      <c r="D108" s="10"/>
      <c r="E108" s="32"/>
      <c r="F108" s="27">
        <v>268</v>
      </c>
      <c r="G108" s="18">
        <f t="shared" si="0"/>
        <v>1415</v>
      </c>
      <c r="H108" s="28"/>
      <c r="I108" s="29"/>
    </row>
    <row r="109" spans="1:15" ht="18" customHeight="1" x14ac:dyDescent="0.25">
      <c r="A109" s="14">
        <v>81</v>
      </c>
      <c r="B109" s="8">
        <v>45918</v>
      </c>
      <c r="C109" s="15"/>
      <c r="D109" s="10"/>
      <c r="E109" s="32"/>
      <c r="F109" s="27">
        <v>130</v>
      </c>
      <c r="G109" s="18">
        <f t="shared" si="0"/>
        <v>1285</v>
      </c>
      <c r="H109" s="28"/>
      <c r="I109" s="29"/>
    </row>
    <row r="110" spans="1:15" ht="18" customHeight="1" x14ac:dyDescent="0.25">
      <c r="A110" s="14">
        <v>82</v>
      </c>
      <c r="B110" s="8">
        <v>45919</v>
      </c>
      <c r="C110" s="15"/>
      <c r="D110" s="10"/>
      <c r="E110" s="32"/>
      <c r="F110" s="27">
        <v>262</v>
      </c>
      <c r="G110" s="18">
        <f t="shared" si="0"/>
        <v>1023</v>
      </c>
      <c r="H110" s="28"/>
      <c r="I110" s="29"/>
    </row>
    <row r="111" spans="1:15" ht="18" customHeight="1" x14ac:dyDescent="0.25">
      <c r="A111" s="14">
        <v>83</v>
      </c>
      <c r="B111" s="8">
        <v>45920</v>
      </c>
      <c r="C111" s="15"/>
      <c r="D111" s="10"/>
      <c r="E111" s="32"/>
      <c r="F111" s="27">
        <f>259+59</f>
        <v>318</v>
      </c>
      <c r="G111" s="18">
        <f t="shared" si="0"/>
        <v>705</v>
      </c>
      <c r="H111" s="28"/>
      <c r="I111" s="29"/>
    </row>
    <row r="112" spans="1:15" ht="18" customHeight="1" x14ac:dyDescent="0.25">
      <c r="A112" s="14">
        <v>84</v>
      </c>
      <c r="B112" s="8">
        <v>45921</v>
      </c>
      <c r="C112" s="15"/>
      <c r="D112" s="10"/>
      <c r="E112" s="32"/>
      <c r="F112" s="27">
        <v>268</v>
      </c>
      <c r="G112" s="18">
        <f t="shared" si="0"/>
        <v>437</v>
      </c>
      <c r="H112" s="28"/>
      <c r="I112" s="29"/>
    </row>
    <row r="113" spans="1:15" ht="18" customHeight="1" x14ac:dyDescent="0.25">
      <c r="A113" s="14">
        <v>85</v>
      </c>
      <c r="B113" s="8">
        <v>45923</v>
      </c>
      <c r="C113" s="15"/>
      <c r="D113" s="10"/>
      <c r="E113" s="32"/>
      <c r="F113" s="27">
        <v>192</v>
      </c>
      <c r="G113" s="18">
        <f t="shared" si="0"/>
        <v>245</v>
      </c>
      <c r="H113" s="28"/>
      <c r="I113" s="29"/>
    </row>
    <row r="114" spans="1:15" ht="18" customHeight="1" x14ac:dyDescent="0.25">
      <c r="A114" s="14">
        <v>86</v>
      </c>
      <c r="B114" s="8">
        <v>45926</v>
      </c>
      <c r="C114" s="15"/>
      <c r="D114" s="10"/>
      <c r="E114" s="32">
        <v>2112</v>
      </c>
      <c r="F114" s="27"/>
      <c r="G114" s="18">
        <f t="shared" si="0"/>
        <v>2357</v>
      </c>
      <c r="H114" s="28"/>
      <c r="I114" s="29"/>
    </row>
    <row r="115" spans="1:15" ht="18" customHeight="1" x14ac:dyDescent="0.25">
      <c r="A115" s="14">
        <v>87</v>
      </c>
      <c r="B115" s="8">
        <v>45929</v>
      </c>
      <c r="C115" s="15"/>
      <c r="D115" s="10"/>
      <c r="E115" s="32"/>
      <c r="F115" s="27">
        <v>281</v>
      </c>
      <c r="G115" s="18">
        <f t="shared" si="0"/>
        <v>2076</v>
      </c>
      <c r="H115" s="28"/>
    </row>
    <row r="116" spans="1:15" ht="18" customHeight="1" x14ac:dyDescent="0.25">
      <c r="A116" s="14">
        <v>88</v>
      </c>
      <c r="B116" s="8">
        <v>45930</v>
      </c>
      <c r="C116" s="15"/>
      <c r="D116" s="10"/>
      <c r="E116" s="32"/>
      <c r="F116" s="27">
        <v>108</v>
      </c>
      <c r="G116" s="18">
        <f t="shared" si="0"/>
        <v>1968</v>
      </c>
      <c r="H116" s="28"/>
      <c r="I116" s="29"/>
      <c r="K116">
        <f>266+18</f>
        <v>284</v>
      </c>
      <c r="N116">
        <f>280*16</f>
        <v>4480</v>
      </c>
      <c r="O116">
        <f>110+120+50</f>
        <v>280</v>
      </c>
    </row>
    <row r="117" spans="1:15" ht="18" customHeight="1" x14ac:dyDescent="0.25">
      <c r="A117" s="14">
        <v>89</v>
      </c>
      <c r="B117" s="8">
        <v>45931</v>
      </c>
      <c r="C117" s="15"/>
      <c r="D117" s="10"/>
      <c r="E117" s="32"/>
      <c r="F117" s="27">
        <v>278</v>
      </c>
      <c r="G117" s="18">
        <f t="shared" si="0"/>
        <v>1690</v>
      </c>
      <c r="H117" s="28"/>
      <c r="I117" s="29"/>
      <c r="N117">
        <f>+N116*91</f>
        <v>407680</v>
      </c>
    </row>
    <row r="118" spans="1:15" ht="18" customHeight="1" x14ac:dyDescent="0.25">
      <c r="A118" s="14">
        <v>90</v>
      </c>
      <c r="B118" s="8">
        <v>45932</v>
      </c>
      <c r="C118" s="15"/>
      <c r="D118" s="10"/>
      <c r="E118" s="32"/>
      <c r="F118" s="27">
        <v>277</v>
      </c>
      <c r="G118" s="18">
        <f t="shared" si="0"/>
        <v>1413</v>
      </c>
      <c r="H118" s="28"/>
      <c r="I118" s="29"/>
      <c r="L118">
        <f>1168/16</f>
        <v>73</v>
      </c>
      <c r="N118">
        <f>+N117/2821</f>
        <v>144.51612903225808</v>
      </c>
    </row>
    <row r="119" spans="1:15" ht="18" customHeight="1" x14ac:dyDescent="0.25">
      <c r="A119" s="14">
        <v>91</v>
      </c>
      <c r="B119" s="8">
        <v>45933</v>
      </c>
      <c r="C119" s="15"/>
      <c r="D119" s="10"/>
      <c r="E119" s="32"/>
      <c r="F119" s="27">
        <v>198</v>
      </c>
      <c r="G119" s="18">
        <f t="shared" si="0"/>
        <v>1215</v>
      </c>
      <c r="H119" s="28"/>
      <c r="I119" s="29"/>
    </row>
    <row r="120" spans="1:15" ht="18" customHeight="1" x14ac:dyDescent="0.25">
      <c r="A120" s="14">
        <v>92</v>
      </c>
      <c r="B120" s="8">
        <v>45934</v>
      </c>
      <c r="C120" s="15"/>
      <c r="D120" s="10"/>
      <c r="E120" s="32"/>
      <c r="F120" s="27">
        <v>96</v>
      </c>
      <c r="G120" s="18">
        <f t="shared" si="0"/>
        <v>1119</v>
      </c>
      <c r="H120" s="28"/>
      <c r="I120" s="29"/>
    </row>
    <row r="121" spans="1:15" ht="18" customHeight="1" x14ac:dyDescent="0.25">
      <c r="A121" s="14">
        <v>93</v>
      </c>
      <c r="B121" s="8">
        <v>45936</v>
      </c>
      <c r="C121" s="15"/>
      <c r="D121" s="10"/>
      <c r="E121" s="32"/>
      <c r="F121" s="27">
        <v>171</v>
      </c>
      <c r="G121" s="18">
        <f t="shared" si="0"/>
        <v>948</v>
      </c>
      <c r="H121" s="28"/>
      <c r="I121" s="29"/>
    </row>
    <row r="122" spans="1:15" ht="18" customHeight="1" x14ac:dyDescent="0.25">
      <c r="A122" s="14">
        <v>94</v>
      </c>
      <c r="B122" s="8">
        <v>45937</v>
      </c>
      <c r="C122" s="15"/>
      <c r="D122" s="10"/>
      <c r="E122" s="32"/>
      <c r="F122" s="27">
        <v>201</v>
      </c>
      <c r="G122" s="18">
        <f t="shared" si="0"/>
        <v>747</v>
      </c>
      <c r="H122" s="28"/>
      <c r="I122" s="29"/>
    </row>
    <row r="123" spans="1:15" ht="18" customHeight="1" x14ac:dyDescent="0.25">
      <c r="A123" s="14">
        <v>95</v>
      </c>
      <c r="B123" s="8">
        <v>45938</v>
      </c>
      <c r="C123" s="15"/>
      <c r="D123" s="10"/>
      <c r="E123" s="32"/>
      <c r="F123" s="27">
        <v>203</v>
      </c>
      <c r="G123" s="18">
        <f t="shared" si="0"/>
        <v>544</v>
      </c>
      <c r="H123" s="28"/>
      <c r="I123" s="29"/>
    </row>
    <row r="124" spans="1:15" ht="18" customHeight="1" x14ac:dyDescent="0.25">
      <c r="A124" s="14">
        <v>96</v>
      </c>
      <c r="B124" s="8">
        <v>45939</v>
      </c>
      <c r="C124" s="15"/>
      <c r="D124" s="10"/>
      <c r="E124" s="32"/>
      <c r="F124" s="27">
        <v>273</v>
      </c>
      <c r="G124" s="18">
        <f t="shared" si="0"/>
        <v>271</v>
      </c>
      <c r="H124" s="28"/>
      <c r="I124" s="29"/>
    </row>
    <row r="125" spans="1:15" ht="18" customHeight="1" x14ac:dyDescent="0.25">
      <c r="A125" s="14">
        <v>97</v>
      </c>
      <c r="B125" s="8"/>
      <c r="C125" s="15"/>
      <c r="D125" s="10"/>
      <c r="E125" s="32"/>
      <c r="F125" s="27"/>
      <c r="G125" s="18">
        <f t="shared" si="0"/>
        <v>271</v>
      </c>
      <c r="H125" s="28"/>
      <c r="I125" s="29"/>
    </row>
    <row r="126" spans="1:15" ht="18" customHeight="1" x14ac:dyDescent="0.25">
      <c r="A126" s="14">
        <v>98</v>
      </c>
      <c r="B126" s="8"/>
      <c r="C126" s="15"/>
      <c r="D126" s="10"/>
      <c r="E126" s="32"/>
      <c r="F126" s="27"/>
      <c r="G126" s="18">
        <f t="shared" si="0"/>
        <v>271</v>
      </c>
      <c r="H126" s="28"/>
      <c r="I126" s="29"/>
    </row>
    <row r="127" spans="1:15" ht="18" customHeight="1" x14ac:dyDescent="0.25">
      <c r="A127" s="14">
        <v>99</v>
      </c>
      <c r="B127" s="8"/>
      <c r="C127" s="15"/>
      <c r="D127" s="10"/>
      <c r="E127" s="32"/>
      <c r="F127" s="27"/>
      <c r="G127" s="18">
        <f t="shared" si="0"/>
        <v>271</v>
      </c>
      <c r="H127" s="28"/>
      <c r="I127" s="29"/>
    </row>
    <row r="128" spans="1:15" ht="18" customHeight="1" x14ac:dyDescent="0.25">
      <c r="A128" s="14">
        <v>100</v>
      </c>
      <c r="B128" s="8"/>
      <c r="C128" s="15"/>
      <c r="D128" s="10"/>
      <c r="E128" s="32"/>
      <c r="F128" s="27"/>
      <c r="G128" s="18">
        <f t="shared" si="0"/>
        <v>271</v>
      </c>
      <c r="H128" s="28"/>
      <c r="I128" s="29"/>
    </row>
    <row r="129" spans="1:9" ht="18" customHeight="1" x14ac:dyDescent="0.25">
      <c r="A129" s="14">
        <v>101</v>
      </c>
      <c r="B129" s="8"/>
      <c r="C129" s="15"/>
      <c r="D129" s="10"/>
      <c r="E129" s="32"/>
      <c r="F129" s="27"/>
      <c r="G129" s="18">
        <f t="shared" si="0"/>
        <v>271</v>
      </c>
      <c r="H129" s="28"/>
      <c r="I129" s="29"/>
    </row>
    <row r="130" spans="1:9" ht="18" customHeight="1" x14ac:dyDescent="0.25">
      <c r="A130" s="14">
        <v>102</v>
      </c>
      <c r="B130" s="8"/>
      <c r="C130" s="15"/>
      <c r="D130" s="10"/>
      <c r="E130" s="32"/>
      <c r="F130" s="27"/>
      <c r="G130" s="18">
        <f t="shared" si="0"/>
        <v>271</v>
      </c>
      <c r="H130" s="28"/>
      <c r="I130" s="29"/>
    </row>
    <row r="131" spans="1:9" ht="18" customHeight="1" x14ac:dyDescent="0.25">
      <c r="A131" s="14">
        <v>103</v>
      </c>
      <c r="B131" s="8"/>
      <c r="C131" s="15"/>
      <c r="D131" s="10"/>
      <c r="E131" s="32"/>
      <c r="F131" s="27"/>
      <c r="G131" s="18">
        <f t="shared" si="0"/>
        <v>271</v>
      </c>
      <c r="H131" s="28"/>
      <c r="I131" s="29"/>
    </row>
    <row r="132" spans="1:9" ht="18" customHeight="1" x14ac:dyDescent="0.25">
      <c r="A132" s="14">
        <v>104</v>
      </c>
      <c r="B132" s="8"/>
      <c r="C132" s="15"/>
      <c r="D132" s="10"/>
      <c r="E132" s="32"/>
      <c r="F132" s="27"/>
      <c r="G132" s="18">
        <f t="shared" si="0"/>
        <v>271</v>
      </c>
      <c r="H132" s="28"/>
      <c r="I132" s="29"/>
    </row>
    <row r="133" spans="1:9" ht="18" customHeight="1" x14ac:dyDescent="0.25">
      <c r="A133" s="14">
        <v>105</v>
      </c>
      <c r="B133" s="8"/>
      <c r="C133" s="15"/>
      <c r="D133" s="10"/>
      <c r="E133" s="32"/>
      <c r="F133" s="27"/>
      <c r="G133" s="18">
        <f t="shared" si="0"/>
        <v>271</v>
      </c>
      <c r="H133" s="28"/>
      <c r="I133" s="29"/>
    </row>
    <row r="134" spans="1:9" ht="18" customHeight="1" x14ac:dyDescent="0.25">
      <c r="A134" s="14">
        <v>106</v>
      </c>
      <c r="B134" s="8"/>
      <c r="C134" s="15"/>
      <c r="D134" s="10"/>
      <c r="E134" s="32"/>
      <c r="F134" s="27"/>
      <c r="G134" s="18">
        <f t="shared" si="0"/>
        <v>271</v>
      </c>
      <c r="H134" s="28"/>
      <c r="I134" s="29"/>
    </row>
    <row r="135" spans="1:9" ht="18" customHeight="1" x14ac:dyDescent="0.25">
      <c r="A135" s="14">
        <v>107</v>
      </c>
      <c r="B135" s="8"/>
      <c r="C135" s="15"/>
      <c r="D135" s="10"/>
      <c r="E135" s="32"/>
      <c r="F135" s="27"/>
      <c r="G135" s="18">
        <f t="shared" si="0"/>
        <v>271</v>
      </c>
      <c r="H135" s="28"/>
      <c r="I135" s="29"/>
    </row>
    <row r="136" spans="1:9" ht="18" customHeight="1" x14ac:dyDescent="0.25">
      <c r="A136" s="14">
        <v>108</v>
      </c>
      <c r="B136" s="8"/>
      <c r="C136" s="15"/>
      <c r="D136" s="10"/>
      <c r="E136" s="32"/>
      <c r="F136" s="27"/>
      <c r="G136" s="18">
        <f t="shared" si="0"/>
        <v>271</v>
      </c>
      <c r="H136" s="28"/>
      <c r="I136" s="29"/>
    </row>
    <row r="137" spans="1:9" ht="18" customHeight="1" x14ac:dyDescent="0.25">
      <c r="A137" s="14">
        <v>109</v>
      </c>
      <c r="B137" s="8"/>
      <c r="C137" s="15"/>
      <c r="D137" s="10"/>
      <c r="E137" s="32"/>
      <c r="F137" s="27"/>
      <c r="G137" s="18">
        <f t="shared" si="0"/>
        <v>271</v>
      </c>
      <c r="H137" s="28"/>
      <c r="I137" s="29"/>
    </row>
    <row r="138" spans="1:9" ht="18" customHeight="1" x14ac:dyDescent="0.25">
      <c r="A138" s="14">
        <v>110</v>
      </c>
      <c r="B138" s="8"/>
      <c r="C138" s="15"/>
      <c r="D138" s="10"/>
      <c r="E138" s="32"/>
      <c r="F138" s="27"/>
      <c r="G138" s="18">
        <f t="shared" si="0"/>
        <v>271</v>
      </c>
      <c r="H138" s="28"/>
      <c r="I138" s="29"/>
    </row>
    <row r="139" spans="1:9" ht="18" customHeight="1" x14ac:dyDescent="0.25">
      <c r="A139" s="14">
        <v>111</v>
      </c>
      <c r="B139" s="8"/>
      <c r="C139" s="15"/>
      <c r="D139" s="10"/>
      <c r="E139" s="32"/>
      <c r="F139" s="27"/>
      <c r="G139" s="18">
        <f t="shared" si="0"/>
        <v>271</v>
      </c>
      <c r="H139" s="28"/>
      <c r="I139" s="29"/>
    </row>
    <row r="140" spans="1:9" ht="18" customHeight="1" x14ac:dyDescent="0.25">
      <c r="A140" s="14">
        <v>112</v>
      </c>
      <c r="B140" s="8"/>
      <c r="C140" s="15"/>
      <c r="D140" s="10"/>
      <c r="E140" s="32"/>
      <c r="F140" s="27"/>
      <c r="G140" s="18">
        <f t="shared" si="0"/>
        <v>271</v>
      </c>
      <c r="H140" s="28"/>
      <c r="I140" s="29"/>
    </row>
    <row r="141" spans="1:9" ht="18" customHeight="1" x14ac:dyDescent="0.25">
      <c r="A141" s="14">
        <v>113</v>
      </c>
      <c r="B141" s="8"/>
      <c r="C141" s="15"/>
      <c r="D141" s="10"/>
      <c r="E141" s="32"/>
      <c r="F141" s="27"/>
      <c r="G141" s="18">
        <f t="shared" si="0"/>
        <v>271</v>
      </c>
      <c r="H141" s="28"/>
      <c r="I141" s="29"/>
    </row>
    <row r="142" spans="1:9" ht="18" customHeight="1" x14ac:dyDescent="0.25">
      <c r="A142" s="14">
        <v>114</v>
      </c>
      <c r="B142" s="8"/>
      <c r="C142" s="15"/>
      <c r="D142" s="10"/>
      <c r="E142" s="32"/>
      <c r="F142" s="27"/>
      <c r="G142" s="18">
        <f t="shared" si="0"/>
        <v>271</v>
      </c>
      <c r="H142" s="28"/>
      <c r="I142" s="29"/>
    </row>
    <row r="143" spans="1:9" ht="18" customHeight="1" x14ac:dyDescent="0.25">
      <c r="A143" s="14">
        <v>115</v>
      </c>
      <c r="B143" s="8"/>
      <c r="C143" s="15"/>
      <c r="D143" s="10"/>
      <c r="E143" s="32"/>
      <c r="F143" s="27"/>
      <c r="G143" s="18">
        <f t="shared" si="0"/>
        <v>271</v>
      </c>
      <c r="H143" s="28"/>
      <c r="I143" s="29"/>
    </row>
    <row r="144" spans="1:9" ht="18" customHeight="1" x14ac:dyDescent="0.25">
      <c r="A144" s="14">
        <v>116</v>
      </c>
      <c r="B144" s="8"/>
      <c r="C144" s="15"/>
      <c r="D144" s="10"/>
      <c r="E144" s="32"/>
      <c r="F144" s="27"/>
      <c r="G144" s="18">
        <f t="shared" si="0"/>
        <v>271</v>
      </c>
      <c r="H144" s="28"/>
      <c r="I144" s="29"/>
    </row>
    <row r="145" spans="1:17" ht="18" customHeight="1" x14ac:dyDescent="0.25">
      <c r="A145" s="14">
        <v>117</v>
      </c>
      <c r="B145" s="8"/>
      <c r="C145" s="15"/>
      <c r="D145" s="10"/>
      <c r="E145" s="32"/>
      <c r="F145" s="27"/>
      <c r="G145" s="18">
        <f t="shared" si="0"/>
        <v>271</v>
      </c>
      <c r="H145" s="28"/>
      <c r="I145" s="29"/>
    </row>
    <row r="146" spans="1:17" ht="18" customHeight="1" x14ac:dyDescent="0.25">
      <c r="A146" s="14">
        <v>118</v>
      </c>
      <c r="B146" s="8"/>
      <c r="C146" s="15"/>
      <c r="D146" s="10"/>
      <c r="E146" s="32"/>
      <c r="F146" s="27"/>
      <c r="G146" s="18">
        <f t="shared" si="0"/>
        <v>271</v>
      </c>
      <c r="H146" s="28"/>
      <c r="I146" s="29"/>
      <c r="L146">
        <f>1168+72</f>
        <v>1240</v>
      </c>
    </row>
    <row r="147" spans="1:17" ht="18" customHeight="1" x14ac:dyDescent="0.25">
      <c r="A147" s="14">
        <v>119</v>
      </c>
      <c r="B147" s="8"/>
      <c r="C147" s="15"/>
      <c r="D147" s="10"/>
      <c r="E147" s="32"/>
      <c r="F147" s="27"/>
      <c r="G147" s="18">
        <f t="shared" si="0"/>
        <v>271</v>
      </c>
      <c r="H147" s="28"/>
      <c r="I147" s="29"/>
    </row>
    <row r="148" spans="1:17" ht="18" customHeight="1" x14ac:dyDescent="0.25">
      <c r="A148" s="14">
        <v>120</v>
      </c>
      <c r="B148" s="8"/>
      <c r="C148" s="15"/>
      <c r="D148" s="10" t="s">
        <v>12</v>
      </c>
      <c r="E148" s="32"/>
      <c r="F148" s="27"/>
      <c r="G148" s="18">
        <f t="shared" si="0"/>
        <v>271</v>
      </c>
      <c r="H148" s="28"/>
      <c r="I148" s="29"/>
      <c r="Q148">
        <f>2972-Q65</f>
        <v>346.32200000000012</v>
      </c>
    </row>
    <row r="149" spans="1:17" ht="18" customHeight="1" x14ac:dyDescent="0.25">
      <c r="A149" s="14">
        <v>121</v>
      </c>
      <c r="B149" s="8"/>
      <c r="C149" s="15"/>
      <c r="D149" s="10" t="s">
        <v>12</v>
      </c>
      <c r="E149" s="32"/>
      <c r="F149" s="27"/>
      <c r="G149" s="18">
        <f t="shared" si="0"/>
        <v>271</v>
      </c>
      <c r="H149" s="28"/>
      <c r="I149" s="29"/>
      <c r="Q149">
        <f>+Q148/2972</f>
        <v>0.116528263795424</v>
      </c>
    </row>
    <row r="150" spans="1:17" ht="15" customHeight="1" x14ac:dyDescent="0.25">
      <c r="A150" s="7"/>
      <c r="B150" s="33"/>
      <c r="C150" s="34" t="s">
        <v>13</v>
      </c>
      <c r="D150" s="7"/>
      <c r="E150" s="35">
        <f>SUM(E9:E149)</f>
        <v>22776</v>
      </c>
      <c r="F150" s="35">
        <f>SUM(F9:F149)</f>
        <v>22505</v>
      </c>
      <c r="G150" s="35">
        <f>+E150-F150+G8</f>
        <v>271</v>
      </c>
      <c r="H150" s="35"/>
      <c r="I150" s="36"/>
    </row>
    <row r="151" spans="1:17" ht="15" customHeight="1" x14ac:dyDescent="0.25">
      <c r="E151" s="26"/>
      <c r="F151" s="26"/>
    </row>
    <row r="152" spans="1:17" ht="15" customHeight="1" x14ac:dyDescent="0.25"/>
    <row r="153" spans="1:17" ht="15" customHeight="1" x14ac:dyDescent="0.25"/>
    <row r="154" spans="1:17" ht="15" customHeight="1" x14ac:dyDescent="0.25">
      <c r="F154" s="26">
        <f>+E150-109</f>
        <v>22667</v>
      </c>
    </row>
    <row r="155" spans="1:17" ht="15" customHeight="1" x14ac:dyDescent="0.25"/>
    <row r="156" spans="1:17" ht="15" customHeight="1" x14ac:dyDescent="0.25">
      <c r="L156">
        <f>4049*0.943</f>
        <v>3818.2069999999999</v>
      </c>
    </row>
    <row r="157" spans="1:17" ht="15" customHeight="1" x14ac:dyDescent="0.25">
      <c r="L157">
        <f>4049*0.946</f>
        <v>3830.3539999999998</v>
      </c>
    </row>
    <row r="158" spans="1:17" ht="15" customHeight="1" x14ac:dyDescent="0.25"/>
    <row r="159" spans="1:17" ht="15" customHeight="1" x14ac:dyDescent="0.25"/>
    <row r="160" spans="1:17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</sheetData>
  <autoFilter ref="A7:I150" xr:uid="{00000000-0001-0000-0100-000000000000}"/>
  <mergeCells count="1">
    <mergeCell ref="A3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E743-E905-4247-86CD-05EF29720006}">
  <sheetPr codeName="Sheet3"/>
  <dimension ref="A1:O97"/>
  <sheetViews>
    <sheetView topLeftCell="A15" workbookViewId="0">
      <selection activeCell="N33" sqref="N33"/>
    </sheetView>
  </sheetViews>
  <sheetFormatPr defaultRowHeight="15" x14ac:dyDescent="0.25"/>
  <cols>
    <col min="1" max="1" width="6" customWidth="1"/>
    <col min="2" max="2" width="11.5703125" style="1" customWidth="1"/>
    <col min="3" max="3" width="41.57031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3.28515625" customWidth="1"/>
    <col min="9" max="9" width="12.28515625" customWidth="1"/>
    <col min="12" max="12" width="11.28515625" bestFit="1" customWidth="1"/>
    <col min="17" max="17" width="11.7109375" bestFit="1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s="271" t="s">
        <v>2</v>
      </c>
      <c r="B3" s="271"/>
      <c r="C3" s="271"/>
      <c r="D3" s="271"/>
      <c r="E3" s="271"/>
      <c r="F3" s="271"/>
      <c r="G3" s="271"/>
      <c r="H3" s="271"/>
      <c r="I3" s="271"/>
    </row>
    <row r="4" spans="1:15" x14ac:dyDescent="0.25">
      <c r="A4" s="271"/>
      <c r="B4" s="271"/>
      <c r="C4" s="271"/>
      <c r="D4" s="271"/>
      <c r="E4" s="271"/>
      <c r="F4" s="271"/>
      <c r="G4" s="271"/>
      <c r="H4" s="271"/>
      <c r="I4" s="271"/>
    </row>
    <row r="5" spans="1:15" x14ac:dyDescent="0.25">
      <c r="A5" s="2"/>
      <c r="B5" s="3"/>
      <c r="C5" s="2"/>
      <c r="D5" s="2"/>
      <c r="E5" s="2"/>
      <c r="F5" s="2"/>
      <c r="G5" s="2"/>
      <c r="H5" s="2"/>
      <c r="I5" s="2"/>
    </row>
    <row r="7" spans="1:15" ht="27.75" customHeight="1" x14ac:dyDescent="0.25">
      <c r="A7" s="4" t="s">
        <v>3</v>
      </c>
      <c r="B7" s="5" t="s">
        <v>4</v>
      </c>
      <c r="C7" s="4" t="s">
        <v>31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5" ht="18" customHeight="1" x14ac:dyDescent="0.25">
      <c r="A8" s="7"/>
      <c r="B8" s="8"/>
      <c r="C8" s="9" t="s">
        <v>11</v>
      </c>
      <c r="D8" s="10"/>
      <c r="E8" s="11"/>
      <c r="F8" s="12"/>
      <c r="G8" s="152"/>
      <c r="H8" s="7"/>
      <c r="I8" s="7"/>
    </row>
    <row r="9" spans="1:15" ht="18" customHeight="1" x14ac:dyDescent="0.25">
      <c r="A9" s="14">
        <v>1</v>
      </c>
      <c r="B9" s="8">
        <v>45703</v>
      </c>
      <c r="C9" s="15" t="s">
        <v>41</v>
      </c>
      <c r="D9" s="10" t="s">
        <v>12</v>
      </c>
      <c r="E9" s="16">
        <v>1590</v>
      </c>
      <c r="F9" s="17"/>
      <c r="G9" s="18">
        <f t="shared" ref="G9:G55" si="0">+G8+E9-F9</f>
        <v>1590</v>
      </c>
      <c r="H9" s="18" t="s">
        <v>26</v>
      </c>
      <c r="I9" s="7" t="s">
        <v>25</v>
      </c>
    </row>
    <row r="10" spans="1:15" ht="18" customHeight="1" x14ac:dyDescent="0.25">
      <c r="A10" s="14">
        <f t="shared" ref="A10:A55" si="1">+A9+1</f>
        <v>2</v>
      </c>
      <c r="B10" s="8">
        <v>45703</v>
      </c>
      <c r="C10" s="15" t="s">
        <v>41</v>
      </c>
      <c r="D10" s="10" t="s">
        <v>12</v>
      </c>
      <c r="E10" s="16">
        <v>920</v>
      </c>
      <c r="F10" s="17"/>
      <c r="G10" s="18">
        <f t="shared" si="0"/>
        <v>2510</v>
      </c>
      <c r="H10" s="18" t="s">
        <v>26</v>
      </c>
      <c r="I10" s="7" t="s">
        <v>25</v>
      </c>
    </row>
    <row r="11" spans="1:15" s="25" customFormat="1" ht="18" customHeight="1" x14ac:dyDescent="0.25">
      <c r="A11" s="19">
        <f t="shared" si="1"/>
        <v>3</v>
      </c>
      <c r="B11" s="20">
        <v>45705</v>
      </c>
      <c r="C11" s="15" t="s">
        <v>41</v>
      </c>
      <c r="D11" s="21" t="s">
        <v>12</v>
      </c>
      <c r="E11" s="22">
        <v>390</v>
      </c>
      <c r="F11" s="23"/>
      <c r="G11" s="24">
        <f t="shared" si="0"/>
        <v>2900</v>
      </c>
      <c r="H11" s="18" t="s">
        <v>26</v>
      </c>
      <c r="I11" s="7" t="s">
        <v>25</v>
      </c>
    </row>
    <row r="12" spans="1:15" s="181" customFormat="1" ht="18" customHeight="1" x14ac:dyDescent="0.25">
      <c r="A12" s="106">
        <f t="shared" si="1"/>
        <v>4</v>
      </c>
      <c r="B12" s="107">
        <v>45720</v>
      </c>
      <c r="C12" s="171" t="s">
        <v>41</v>
      </c>
      <c r="D12" s="159" t="s">
        <v>12</v>
      </c>
      <c r="E12" s="173"/>
      <c r="F12" s="180">
        <v>45</v>
      </c>
      <c r="G12" s="110">
        <f t="shared" si="0"/>
        <v>2855</v>
      </c>
      <c r="H12" s="110" t="s">
        <v>26</v>
      </c>
      <c r="I12" s="174" t="s">
        <v>25</v>
      </c>
      <c r="K12" s="183"/>
    </row>
    <row r="13" spans="1:15" s="181" customFormat="1" ht="18" customHeight="1" x14ac:dyDescent="0.25">
      <c r="A13" s="106">
        <f t="shared" si="1"/>
        <v>5</v>
      </c>
      <c r="B13" s="107">
        <v>45721</v>
      </c>
      <c r="C13" s="171" t="s">
        <v>41</v>
      </c>
      <c r="D13" s="159" t="s">
        <v>12</v>
      </c>
      <c r="E13" s="173"/>
      <c r="F13" s="180">
        <v>228</v>
      </c>
      <c r="G13" s="110">
        <f t="shared" si="0"/>
        <v>2627</v>
      </c>
      <c r="H13" s="110" t="s">
        <v>26</v>
      </c>
      <c r="I13" s="174" t="s">
        <v>25</v>
      </c>
    </row>
    <row r="14" spans="1:15" s="181" customFormat="1" ht="18" customHeight="1" x14ac:dyDescent="0.25">
      <c r="A14" s="106">
        <f t="shared" si="1"/>
        <v>6</v>
      </c>
      <c r="B14" s="107">
        <v>45722</v>
      </c>
      <c r="C14" s="171" t="s">
        <v>41</v>
      </c>
      <c r="D14" s="159" t="s">
        <v>12</v>
      </c>
      <c r="E14" s="173"/>
      <c r="F14" s="180">
        <v>219</v>
      </c>
      <c r="G14" s="110">
        <f t="shared" si="0"/>
        <v>2408</v>
      </c>
      <c r="H14" s="110" t="s">
        <v>26</v>
      </c>
      <c r="I14" s="174" t="s">
        <v>25</v>
      </c>
    </row>
    <row r="15" spans="1:15" s="181" customFormat="1" ht="18" customHeight="1" x14ac:dyDescent="0.25">
      <c r="A15" s="186">
        <f t="shared" si="1"/>
        <v>7</v>
      </c>
      <c r="B15" s="187">
        <v>45724</v>
      </c>
      <c r="C15" s="175" t="s">
        <v>41</v>
      </c>
      <c r="D15" s="188" t="s">
        <v>12</v>
      </c>
      <c r="E15" s="185"/>
      <c r="F15" s="180">
        <v>109</v>
      </c>
      <c r="G15" s="189">
        <f t="shared" si="0"/>
        <v>2299</v>
      </c>
      <c r="H15" s="189" t="s">
        <v>26</v>
      </c>
      <c r="I15" s="190" t="s">
        <v>25</v>
      </c>
      <c r="J15" s="200" t="s">
        <v>94</v>
      </c>
      <c r="K15" s="200"/>
      <c r="L15" s="200"/>
      <c r="M15" s="200"/>
      <c r="N15" s="200"/>
      <c r="O15" s="200"/>
    </row>
    <row r="16" spans="1:15" s="181" customFormat="1" ht="18" customHeight="1" x14ac:dyDescent="0.25">
      <c r="A16" s="106">
        <f t="shared" si="1"/>
        <v>8</v>
      </c>
      <c r="B16" s="107">
        <v>45727</v>
      </c>
      <c r="C16" s="171" t="s">
        <v>41</v>
      </c>
      <c r="D16" s="159" t="s">
        <v>12</v>
      </c>
      <c r="E16" s="173"/>
      <c r="F16" s="180">
        <f>5*20+6</f>
        <v>106</v>
      </c>
      <c r="G16" s="110">
        <f t="shared" si="0"/>
        <v>2193</v>
      </c>
      <c r="H16" s="110" t="s">
        <v>26</v>
      </c>
      <c r="I16" s="174" t="s">
        <v>25</v>
      </c>
    </row>
    <row r="17" spans="1:13" s="181" customFormat="1" ht="18" customHeight="1" x14ac:dyDescent="0.25">
      <c r="A17" s="106">
        <f t="shared" si="1"/>
        <v>9</v>
      </c>
      <c r="B17" s="107">
        <v>45728</v>
      </c>
      <c r="C17" s="171"/>
      <c r="D17" s="159" t="s">
        <v>12</v>
      </c>
      <c r="E17" s="173"/>
      <c r="F17" s="185">
        <v>77</v>
      </c>
      <c r="G17" s="110">
        <f t="shared" si="0"/>
        <v>2116</v>
      </c>
      <c r="H17" s="110"/>
      <c r="I17" s="174"/>
    </row>
    <row r="18" spans="1:13" s="181" customFormat="1" ht="18" customHeight="1" x14ac:dyDescent="0.25">
      <c r="A18" s="106">
        <f t="shared" si="1"/>
        <v>10</v>
      </c>
      <c r="B18" s="107">
        <v>45729</v>
      </c>
      <c r="C18" s="171"/>
      <c r="D18" s="159" t="s">
        <v>12</v>
      </c>
      <c r="E18" s="173"/>
      <c r="F18" s="185">
        <v>62</v>
      </c>
      <c r="G18" s="110">
        <f t="shared" si="0"/>
        <v>2054</v>
      </c>
      <c r="H18" s="110" t="s">
        <v>26</v>
      </c>
      <c r="I18" s="174" t="s">
        <v>25</v>
      </c>
    </row>
    <row r="19" spans="1:13" s="181" customFormat="1" ht="18" customHeight="1" x14ac:dyDescent="0.25">
      <c r="A19" s="106">
        <f t="shared" si="1"/>
        <v>11</v>
      </c>
      <c r="B19" s="107">
        <v>45731</v>
      </c>
      <c r="C19" s="171"/>
      <c r="D19" s="159" t="s">
        <v>12</v>
      </c>
      <c r="E19" s="182"/>
      <c r="F19" s="185">
        <f>12*20+9+1</f>
        <v>250</v>
      </c>
      <c r="G19" s="110">
        <f t="shared" si="0"/>
        <v>1804</v>
      </c>
      <c r="H19" s="110" t="s">
        <v>26</v>
      </c>
      <c r="I19" s="174" t="s">
        <v>25</v>
      </c>
    </row>
    <row r="20" spans="1:13" s="181" customFormat="1" ht="18" customHeight="1" x14ac:dyDescent="0.25">
      <c r="A20" s="186">
        <f t="shared" si="1"/>
        <v>12</v>
      </c>
      <c r="B20" s="187">
        <v>45733</v>
      </c>
      <c r="C20" s="175" t="s">
        <v>93</v>
      </c>
      <c r="D20" s="188" t="s">
        <v>12</v>
      </c>
      <c r="E20" s="185"/>
      <c r="F20" s="185">
        <f>367+80</f>
        <v>447</v>
      </c>
      <c r="G20" s="189">
        <f t="shared" si="0"/>
        <v>1357</v>
      </c>
      <c r="H20" s="189" t="s">
        <v>26</v>
      </c>
      <c r="I20" s="190" t="s">
        <v>25</v>
      </c>
      <c r="J20" s="200" t="s">
        <v>97</v>
      </c>
      <c r="K20" s="200"/>
      <c r="L20" s="200"/>
      <c r="M20" s="202"/>
    </row>
    <row r="21" spans="1:13" s="181" customFormat="1" ht="18" customHeight="1" x14ac:dyDescent="0.25">
      <c r="A21" s="106">
        <f>+A20+1</f>
        <v>13</v>
      </c>
      <c r="B21" s="107">
        <v>45734</v>
      </c>
      <c r="C21" s="171"/>
      <c r="D21" s="159" t="s">
        <v>12</v>
      </c>
      <c r="E21" s="173"/>
      <c r="F21" s="180">
        <v>343</v>
      </c>
      <c r="G21" s="110">
        <f>+G20+E21-F21</f>
        <v>1014</v>
      </c>
      <c r="H21" s="110" t="s">
        <v>26</v>
      </c>
      <c r="I21" s="174" t="s">
        <v>25</v>
      </c>
    </row>
    <row r="22" spans="1:13" s="181" customFormat="1" ht="18" customHeight="1" x14ac:dyDescent="0.25">
      <c r="A22" s="106">
        <f t="shared" si="1"/>
        <v>14</v>
      </c>
      <c r="B22" s="107">
        <v>45735</v>
      </c>
      <c r="C22" s="171"/>
      <c r="D22" s="159" t="s">
        <v>12</v>
      </c>
      <c r="E22" s="173"/>
      <c r="F22" s="180">
        <v>167</v>
      </c>
      <c r="G22" s="110">
        <f t="shared" si="0"/>
        <v>847</v>
      </c>
      <c r="H22" s="110" t="s">
        <v>26</v>
      </c>
      <c r="I22" s="174" t="s">
        <v>25</v>
      </c>
    </row>
    <row r="23" spans="1:13" ht="18" customHeight="1" x14ac:dyDescent="0.25">
      <c r="A23" s="14">
        <f t="shared" si="1"/>
        <v>15</v>
      </c>
      <c r="B23" s="8">
        <v>45749</v>
      </c>
      <c r="C23" s="15"/>
      <c r="D23" s="10" t="s">
        <v>12</v>
      </c>
      <c r="E23" s="32"/>
      <c r="F23" s="17">
        <v>340</v>
      </c>
      <c r="G23" s="203">
        <f t="shared" si="0"/>
        <v>507</v>
      </c>
      <c r="H23" s="18"/>
      <c r="I23" s="7"/>
    </row>
    <row r="24" spans="1:13" ht="18" customHeight="1" x14ac:dyDescent="0.25">
      <c r="A24" s="14">
        <f t="shared" si="1"/>
        <v>16</v>
      </c>
      <c r="B24" s="8">
        <v>45761</v>
      </c>
      <c r="C24" s="15"/>
      <c r="D24" s="10" t="s">
        <v>12</v>
      </c>
      <c r="E24" s="32">
        <v>300</v>
      </c>
      <c r="F24" s="27"/>
      <c r="G24" s="203">
        <f t="shared" si="0"/>
        <v>807</v>
      </c>
      <c r="H24" s="18"/>
      <c r="I24" s="7"/>
    </row>
    <row r="25" spans="1:13" ht="18" customHeight="1" x14ac:dyDescent="0.25">
      <c r="A25" s="14">
        <f t="shared" si="1"/>
        <v>17</v>
      </c>
      <c r="B25" s="8">
        <v>45762</v>
      </c>
      <c r="C25" s="15"/>
      <c r="D25" s="10" t="s">
        <v>12</v>
      </c>
      <c r="E25" s="32"/>
      <c r="F25" s="27">
        <v>15</v>
      </c>
      <c r="G25" s="203">
        <f t="shared" si="0"/>
        <v>792</v>
      </c>
      <c r="H25" s="18"/>
      <c r="I25" s="7"/>
      <c r="J25" s="26"/>
    </row>
    <row r="26" spans="1:13" ht="18" customHeight="1" x14ac:dyDescent="0.25">
      <c r="A26" s="14">
        <f t="shared" si="1"/>
        <v>18</v>
      </c>
      <c r="B26" s="8">
        <v>45763</v>
      </c>
      <c r="C26" s="15"/>
      <c r="D26" s="10" t="s">
        <v>12</v>
      </c>
      <c r="E26" s="32"/>
      <c r="F26" s="27">
        <v>306</v>
      </c>
      <c r="G26" s="203">
        <f t="shared" si="0"/>
        <v>486</v>
      </c>
      <c r="H26" s="18"/>
      <c r="I26" s="7"/>
    </row>
    <row r="27" spans="1:13" ht="18" customHeight="1" x14ac:dyDescent="0.25">
      <c r="A27" s="14">
        <f t="shared" si="1"/>
        <v>19</v>
      </c>
      <c r="B27" s="8">
        <v>45766</v>
      </c>
      <c r="C27" s="15"/>
      <c r="D27" s="10" t="s">
        <v>12</v>
      </c>
      <c r="E27" s="32">
        <v>300</v>
      </c>
      <c r="F27" s="27"/>
      <c r="G27" s="203">
        <f t="shared" si="0"/>
        <v>786</v>
      </c>
      <c r="H27" s="18"/>
      <c r="I27" s="7"/>
    </row>
    <row r="28" spans="1:13" ht="18" customHeight="1" x14ac:dyDescent="0.25">
      <c r="A28" s="14">
        <f t="shared" si="1"/>
        <v>20</v>
      </c>
      <c r="B28" s="8">
        <v>45768</v>
      </c>
      <c r="C28" s="15"/>
      <c r="D28" s="10" t="s">
        <v>12</v>
      </c>
      <c r="E28" s="32"/>
      <c r="F28" s="27">
        <v>129</v>
      </c>
      <c r="G28" s="203">
        <f t="shared" si="0"/>
        <v>657</v>
      </c>
      <c r="H28" s="18"/>
      <c r="I28" s="7"/>
    </row>
    <row r="29" spans="1:13" ht="18" customHeight="1" x14ac:dyDescent="0.25">
      <c r="A29" s="14">
        <f t="shared" si="1"/>
        <v>21</v>
      </c>
      <c r="B29" s="8">
        <v>45769</v>
      </c>
      <c r="C29" s="15"/>
      <c r="D29" s="10" t="s">
        <v>12</v>
      </c>
      <c r="E29" s="32"/>
      <c r="F29" s="27">
        <v>125</v>
      </c>
      <c r="G29" s="203">
        <f t="shared" si="0"/>
        <v>532</v>
      </c>
      <c r="H29" s="18"/>
      <c r="I29" s="7"/>
    </row>
    <row r="30" spans="1:13" ht="18" customHeight="1" x14ac:dyDescent="0.25">
      <c r="A30" s="14">
        <f t="shared" si="1"/>
        <v>22</v>
      </c>
      <c r="B30" s="8">
        <v>45771</v>
      </c>
      <c r="C30" s="15"/>
      <c r="D30" s="10" t="s">
        <v>12</v>
      </c>
      <c r="E30" s="32">
        <v>200</v>
      </c>
      <c r="F30" s="27"/>
      <c r="G30" s="203">
        <f t="shared" si="0"/>
        <v>732</v>
      </c>
      <c r="H30" s="18"/>
      <c r="I30" s="7"/>
    </row>
    <row r="31" spans="1:13" ht="18" customHeight="1" x14ac:dyDescent="0.25">
      <c r="A31" s="14">
        <f t="shared" si="1"/>
        <v>23</v>
      </c>
      <c r="B31" s="8">
        <v>45774</v>
      </c>
      <c r="C31" s="15"/>
      <c r="D31" s="10" t="s">
        <v>12</v>
      </c>
      <c r="E31" s="32"/>
      <c r="F31" s="27">
        <v>251</v>
      </c>
      <c r="G31" s="203">
        <f t="shared" si="0"/>
        <v>481</v>
      </c>
      <c r="H31" s="18"/>
      <c r="I31" s="7"/>
    </row>
    <row r="32" spans="1:13" ht="18" customHeight="1" x14ac:dyDescent="0.25">
      <c r="A32" s="14">
        <f t="shared" si="1"/>
        <v>24</v>
      </c>
      <c r="B32" s="8">
        <v>45776</v>
      </c>
      <c r="C32" s="15"/>
      <c r="D32" s="10" t="s">
        <v>12</v>
      </c>
      <c r="E32" s="32"/>
      <c r="F32" s="27">
        <v>68</v>
      </c>
      <c r="G32" s="203">
        <f t="shared" si="0"/>
        <v>413</v>
      </c>
      <c r="H32" s="18"/>
      <c r="I32" s="7"/>
      <c r="K32">
        <f>259+176</f>
        <v>435</v>
      </c>
    </row>
    <row r="33" spans="1:11" ht="18" customHeight="1" x14ac:dyDescent="0.25">
      <c r="A33" s="14">
        <f t="shared" si="1"/>
        <v>25</v>
      </c>
      <c r="B33" s="8">
        <v>45782</v>
      </c>
      <c r="C33" s="15"/>
      <c r="D33" s="10" t="s">
        <v>12</v>
      </c>
      <c r="E33" s="32"/>
      <c r="F33" s="27">
        <v>259</v>
      </c>
      <c r="G33" s="203">
        <f t="shared" si="0"/>
        <v>154</v>
      </c>
      <c r="H33" s="18"/>
      <c r="I33" s="7"/>
      <c r="K33">
        <f>+K32-183</f>
        <v>252</v>
      </c>
    </row>
    <row r="34" spans="1:11" ht="18" customHeight="1" x14ac:dyDescent="0.25">
      <c r="A34" s="14">
        <f t="shared" si="1"/>
        <v>26</v>
      </c>
      <c r="B34" s="8">
        <v>45786</v>
      </c>
      <c r="C34" s="15"/>
      <c r="D34" s="10" t="s">
        <v>12</v>
      </c>
      <c r="E34" s="32">
        <v>22</v>
      </c>
      <c r="F34" s="27"/>
      <c r="G34" s="203">
        <f t="shared" si="0"/>
        <v>176</v>
      </c>
      <c r="H34" s="28"/>
      <c r="I34" s="7"/>
    </row>
    <row r="35" spans="1:11" ht="18" customHeight="1" x14ac:dyDescent="0.25">
      <c r="A35" s="14">
        <f t="shared" si="1"/>
        <v>27</v>
      </c>
      <c r="B35" s="8">
        <v>45796</v>
      </c>
      <c r="C35" s="15"/>
      <c r="D35" s="10" t="s">
        <v>12</v>
      </c>
      <c r="E35" s="32"/>
      <c r="F35" s="27">
        <v>176</v>
      </c>
      <c r="G35" s="203">
        <f t="shared" si="0"/>
        <v>0</v>
      </c>
      <c r="H35" s="28" t="s">
        <v>104</v>
      </c>
      <c r="I35" s="7"/>
    </row>
    <row r="36" spans="1:11" ht="18" customHeight="1" x14ac:dyDescent="0.25">
      <c r="A36" s="14">
        <f t="shared" si="1"/>
        <v>28</v>
      </c>
      <c r="B36" s="8"/>
      <c r="C36" s="15"/>
      <c r="D36" s="10" t="s">
        <v>12</v>
      </c>
      <c r="E36" s="32"/>
      <c r="F36" s="27"/>
      <c r="G36" s="203">
        <f t="shared" si="0"/>
        <v>0</v>
      </c>
      <c r="H36" s="28"/>
      <c r="I36" s="7"/>
    </row>
    <row r="37" spans="1:11" ht="18" customHeight="1" x14ac:dyDescent="0.25">
      <c r="A37" s="14">
        <f t="shared" si="1"/>
        <v>29</v>
      </c>
      <c r="B37" s="8"/>
      <c r="C37" s="15"/>
      <c r="D37" s="10" t="s">
        <v>12</v>
      </c>
      <c r="E37" s="32"/>
      <c r="F37" s="27"/>
      <c r="G37" s="203">
        <f t="shared" si="0"/>
        <v>0</v>
      </c>
      <c r="H37" s="28"/>
      <c r="I37" s="7"/>
    </row>
    <row r="38" spans="1:11" ht="18" customHeight="1" x14ac:dyDescent="0.25">
      <c r="A38" s="14">
        <f t="shared" si="1"/>
        <v>30</v>
      </c>
      <c r="B38" s="8"/>
      <c r="C38" s="15"/>
      <c r="D38" s="10" t="s">
        <v>12</v>
      </c>
      <c r="E38" s="32"/>
      <c r="F38" s="27"/>
      <c r="G38" s="203">
        <f t="shared" si="0"/>
        <v>0</v>
      </c>
      <c r="H38" s="28"/>
      <c r="I38" s="7"/>
    </row>
    <row r="39" spans="1:11" ht="18" customHeight="1" x14ac:dyDescent="0.25">
      <c r="A39" s="14">
        <f t="shared" si="1"/>
        <v>31</v>
      </c>
      <c r="B39" s="8"/>
      <c r="C39" s="15"/>
      <c r="D39" s="10" t="s">
        <v>12</v>
      </c>
      <c r="E39" s="32"/>
      <c r="F39" s="27"/>
      <c r="G39" s="203">
        <f t="shared" si="0"/>
        <v>0</v>
      </c>
      <c r="H39" s="28"/>
      <c r="I39" s="7"/>
    </row>
    <row r="40" spans="1:11" ht="18" customHeight="1" x14ac:dyDescent="0.25">
      <c r="A40" s="14">
        <f t="shared" si="1"/>
        <v>32</v>
      </c>
      <c r="B40" s="8"/>
      <c r="C40" s="15"/>
      <c r="D40" s="10" t="s">
        <v>12</v>
      </c>
      <c r="E40" s="32"/>
      <c r="F40" s="27"/>
      <c r="G40" s="203">
        <f t="shared" si="0"/>
        <v>0</v>
      </c>
      <c r="H40" s="28"/>
      <c r="I40" s="7"/>
    </row>
    <row r="41" spans="1:11" ht="18" customHeight="1" x14ac:dyDescent="0.25">
      <c r="A41" s="14">
        <f t="shared" si="1"/>
        <v>33</v>
      </c>
      <c r="B41" s="8"/>
      <c r="C41" s="15"/>
      <c r="D41" s="10" t="s">
        <v>12</v>
      </c>
      <c r="E41" s="32"/>
      <c r="F41" s="27"/>
      <c r="G41" s="203">
        <f t="shared" si="0"/>
        <v>0</v>
      </c>
      <c r="H41" s="28"/>
      <c r="I41" s="7"/>
    </row>
    <row r="42" spans="1:11" ht="18" customHeight="1" x14ac:dyDescent="0.25">
      <c r="A42" s="14">
        <f t="shared" si="1"/>
        <v>34</v>
      </c>
      <c r="B42" s="8"/>
      <c r="C42" s="15"/>
      <c r="D42" s="10" t="s">
        <v>12</v>
      </c>
      <c r="E42" s="32"/>
      <c r="F42" s="27"/>
      <c r="G42" s="203">
        <f t="shared" si="0"/>
        <v>0</v>
      </c>
      <c r="H42" s="28"/>
      <c r="I42" s="7"/>
    </row>
    <row r="43" spans="1:11" ht="18" customHeight="1" x14ac:dyDescent="0.25">
      <c r="A43" s="14">
        <f t="shared" si="1"/>
        <v>35</v>
      </c>
      <c r="B43" s="8"/>
      <c r="C43" s="15"/>
      <c r="D43" s="10" t="s">
        <v>12</v>
      </c>
      <c r="E43" s="32"/>
      <c r="F43" s="27"/>
      <c r="G43" s="203">
        <f t="shared" si="0"/>
        <v>0</v>
      </c>
      <c r="H43" s="28"/>
      <c r="I43" s="7"/>
    </row>
    <row r="44" spans="1:11" ht="18" customHeight="1" x14ac:dyDescent="0.25">
      <c r="A44" s="14">
        <f t="shared" si="1"/>
        <v>36</v>
      </c>
      <c r="B44" s="8"/>
      <c r="C44" s="15"/>
      <c r="D44" s="10" t="s">
        <v>12</v>
      </c>
      <c r="E44" s="32"/>
      <c r="F44" s="27"/>
      <c r="G44" s="203">
        <f t="shared" si="0"/>
        <v>0</v>
      </c>
      <c r="H44" s="28"/>
      <c r="I44" s="7"/>
    </row>
    <row r="45" spans="1:11" ht="18" customHeight="1" x14ac:dyDescent="0.25">
      <c r="A45" s="14">
        <f t="shared" si="1"/>
        <v>37</v>
      </c>
      <c r="B45" s="8"/>
      <c r="C45" s="15"/>
      <c r="D45" s="10" t="s">
        <v>12</v>
      </c>
      <c r="E45" s="32"/>
      <c r="F45" s="27"/>
      <c r="G45" s="203">
        <f t="shared" si="0"/>
        <v>0</v>
      </c>
      <c r="H45" s="28"/>
      <c r="I45" s="7"/>
    </row>
    <row r="46" spans="1:11" ht="18" customHeight="1" x14ac:dyDescent="0.25">
      <c r="A46" s="14">
        <f t="shared" si="1"/>
        <v>38</v>
      </c>
      <c r="B46" s="8"/>
      <c r="C46" s="15"/>
      <c r="D46" s="10" t="s">
        <v>12</v>
      </c>
      <c r="E46" s="32"/>
      <c r="F46" s="27"/>
      <c r="G46" s="203">
        <f t="shared" si="0"/>
        <v>0</v>
      </c>
      <c r="H46" s="28"/>
      <c r="I46" s="7"/>
    </row>
    <row r="47" spans="1:11" ht="18" customHeight="1" x14ac:dyDescent="0.25">
      <c r="A47" s="14">
        <f t="shared" si="1"/>
        <v>39</v>
      </c>
      <c r="B47" s="8"/>
      <c r="C47" s="15"/>
      <c r="D47" s="10" t="s">
        <v>12</v>
      </c>
      <c r="E47" s="32"/>
      <c r="F47" s="27"/>
      <c r="G47" s="203">
        <f t="shared" si="0"/>
        <v>0</v>
      </c>
      <c r="H47" s="28"/>
      <c r="I47" s="7"/>
    </row>
    <row r="48" spans="1:11" ht="18" customHeight="1" x14ac:dyDescent="0.25">
      <c r="A48" s="14">
        <f t="shared" si="1"/>
        <v>40</v>
      </c>
      <c r="B48" s="8"/>
      <c r="C48" s="15"/>
      <c r="D48" s="10" t="s">
        <v>12</v>
      </c>
      <c r="E48" s="32"/>
      <c r="F48" s="27"/>
      <c r="G48" s="203">
        <f t="shared" si="0"/>
        <v>0</v>
      </c>
      <c r="H48" s="28"/>
      <c r="I48" s="7"/>
    </row>
    <row r="49" spans="1:9" ht="18" customHeight="1" x14ac:dyDescent="0.25">
      <c r="A49" s="14">
        <f t="shared" si="1"/>
        <v>41</v>
      </c>
      <c r="B49" s="8"/>
      <c r="C49" s="15"/>
      <c r="D49" s="10" t="s">
        <v>12</v>
      </c>
      <c r="E49" s="32"/>
      <c r="F49" s="27"/>
      <c r="G49" s="203">
        <f t="shared" si="0"/>
        <v>0</v>
      </c>
      <c r="H49" s="28"/>
      <c r="I49" s="7"/>
    </row>
    <row r="50" spans="1:9" ht="18" customHeight="1" x14ac:dyDescent="0.25">
      <c r="A50" s="14">
        <f t="shared" si="1"/>
        <v>42</v>
      </c>
      <c r="B50" s="8"/>
      <c r="C50" s="15"/>
      <c r="D50" s="10" t="s">
        <v>12</v>
      </c>
      <c r="E50" s="32"/>
      <c r="F50" s="27"/>
      <c r="G50" s="203">
        <f t="shared" si="0"/>
        <v>0</v>
      </c>
      <c r="H50" s="28"/>
      <c r="I50" s="7"/>
    </row>
    <row r="51" spans="1:9" ht="18" customHeight="1" x14ac:dyDescent="0.25">
      <c r="A51" s="14">
        <f t="shared" si="1"/>
        <v>43</v>
      </c>
      <c r="B51" s="8"/>
      <c r="C51" s="15"/>
      <c r="D51" s="10" t="s">
        <v>12</v>
      </c>
      <c r="E51" s="32"/>
      <c r="F51" s="27"/>
      <c r="G51" s="203">
        <f t="shared" si="0"/>
        <v>0</v>
      </c>
      <c r="H51" s="28"/>
      <c r="I51" s="29"/>
    </row>
    <row r="52" spans="1:9" ht="18" customHeight="1" x14ac:dyDescent="0.25">
      <c r="A52" s="14">
        <f t="shared" si="1"/>
        <v>44</v>
      </c>
      <c r="B52" s="8"/>
      <c r="C52" s="15"/>
      <c r="D52" s="10" t="s">
        <v>12</v>
      </c>
      <c r="E52" s="32"/>
      <c r="F52" s="27"/>
      <c r="G52" s="203">
        <f t="shared" si="0"/>
        <v>0</v>
      </c>
      <c r="H52" s="28"/>
      <c r="I52" s="29"/>
    </row>
    <row r="53" spans="1:9" ht="18" customHeight="1" x14ac:dyDescent="0.25">
      <c r="A53" s="14">
        <f t="shared" si="1"/>
        <v>45</v>
      </c>
      <c r="B53" s="8"/>
      <c r="C53" s="15"/>
      <c r="D53" s="10" t="s">
        <v>12</v>
      </c>
      <c r="E53" s="32"/>
      <c r="F53" s="27"/>
      <c r="G53" s="203">
        <f t="shared" si="0"/>
        <v>0</v>
      </c>
      <c r="H53" s="28"/>
      <c r="I53" s="29"/>
    </row>
    <row r="54" spans="1:9" ht="18" customHeight="1" x14ac:dyDescent="0.25">
      <c r="A54" s="14">
        <f t="shared" si="1"/>
        <v>46</v>
      </c>
      <c r="B54" s="8"/>
      <c r="C54" s="15"/>
      <c r="D54" s="10" t="s">
        <v>12</v>
      </c>
      <c r="E54" s="32"/>
      <c r="F54" s="27"/>
      <c r="G54" s="203">
        <f t="shared" si="0"/>
        <v>0</v>
      </c>
      <c r="H54" s="28"/>
      <c r="I54" s="29"/>
    </row>
    <row r="55" spans="1:9" ht="18" customHeight="1" x14ac:dyDescent="0.25">
      <c r="A55" s="14">
        <f t="shared" si="1"/>
        <v>47</v>
      </c>
      <c r="B55" s="8"/>
      <c r="C55" s="15"/>
      <c r="D55" s="10" t="s">
        <v>12</v>
      </c>
      <c r="E55" s="32"/>
      <c r="F55" s="27"/>
      <c r="G55" s="203">
        <f t="shared" si="0"/>
        <v>0</v>
      </c>
      <c r="H55" s="28"/>
      <c r="I55" s="29"/>
    </row>
    <row r="56" spans="1:9" ht="15" customHeight="1" x14ac:dyDescent="0.25">
      <c r="A56" s="7"/>
      <c r="B56" s="33"/>
      <c r="C56" s="34" t="s">
        <v>13</v>
      </c>
      <c r="D56" s="7"/>
      <c r="E56" s="35">
        <f>SUM(E9:E55)</f>
        <v>3722</v>
      </c>
      <c r="F56" s="35">
        <f>SUM(F9:F55)</f>
        <v>3722</v>
      </c>
      <c r="G56" s="35">
        <f>+E56-F56+G8</f>
        <v>0</v>
      </c>
      <c r="H56" s="35"/>
      <c r="I56" s="36"/>
    </row>
    <row r="57" spans="1:9" ht="15" customHeight="1" x14ac:dyDescent="0.25">
      <c r="E57" s="26"/>
      <c r="F57" s="26"/>
    </row>
    <row r="58" spans="1:9" ht="15" customHeight="1" x14ac:dyDescent="0.25"/>
    <row r="59" spans="1:9" ht="15" customHeight="1" x14ac:dyDescent="0.25"/>
    <row r="60" spans="1:9" ht="15" customHeight="1" x14ac:dyDescent="0.25"/>
    <row r="61" spans="1:9" ht="15" customHeight="1" x14ac:dyDescent="0.25"/>
    <row r="62" spans="1:9" ht="15" customHeight="1" x14ac:dyDescent="0.25"/>
    <row r="63" spans="1:9" ht="15" customHeight="1" x14ac:dyDescent="0.25"/>
    <row r="64" spans="1:9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</sheetData>
  <autoFilter ref="A7:I56" xr:uid="{B89BE743-E905-4247-86CD-05EF29720006}"/>
  <mergeCells count="1">
    <mergeCell ref="A3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125"/>
  <sheetViews>
    <sheetView topLeftCell="A7" workbookViewId="0">
      <selection activeCell="F22" sqref="F22"/>
    </sheetView>
  </sheetViews>
  <sheetFormatPr defaultRowHeight="15" x14ac:dyDescent="0.25"/>
  <cols>
    <col min="1" max="1" width="6" customWidth="1"/>
    <col min="2" max="2" width="10.85546875" customWidth="1"/>
    <col min="3" max="3" width="43.855468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140625" customWidth="1"/>
    <col min="9" max="9" width="12.28515625" customWidth="1"/>
    <col min="12" max="12" width="11.28515625" bestFit="1" customWidth="1"/>
    <col min="17" max="17" width="11.71093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4" spans="1:11" x14ac:dyDescent="0.25">
      <c r="A4" s="271" t="s">
        <v>2</v>
      </c>
      <c r="B4" s="271"/>
      <c r="C4" s="271"/>
      <c r="D4" s="271"/>
      <c r="E4" s="271"/>
      <c r="F4" s="271"/>
      <c r="G4" s="271"/>
      <c r="H4" s="271"/>
      <c r="I4" s="271"/>
    </row>
    <row r="5" spans="1:11" x14ac:dyDescent="0.25">
      <c r="A5" s="271"/>
      <c r="B5" s="271"/>
      <c r="C5" s="271"/>
      <c r="D5" s="271"/>
      <c r="E5" s="271"/>
      <c r="F5" s="271"/>
      <c r="G5" s="271"/>
      <c r="H5" s="271"/>
      <c r="I5" s="271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</row>
    <row r="8" spans="1:11" ht="27.75" customHeight="1" x14ac:dyDescent="0.25">
      <c r="A8" s="4" t="s">
        <v>3</v>
      </c>
      <c r="B8" s="4" t="s">
        <v>4</v>
      </c>
      <c r="C8" s="4" t="s">
        <v>31</v>
      </c>
      <c r="D8" s="4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4" t="s">
        <v>10</v>
      </c>
    </row>
    <row r="9" spans="1:11" ht="18" customHeight="1" x14ac:dyDescent="0.25">
      <c r="A9" s="7"/>
      <c r="B9" s="8"/>
      <c r="C9" s="9" t="s">
        <v>11</v>
      </c>
      <c r="D9" s="10"/>
      <c r="E9" s="11"/>
      <c r="F9" s="12"/>
      <c r="G9" s="152"/>
      <c r="H9" s="7"/>
      <c r="I9" s="7"/>
    </row>
    <row r="10" spans="1:11" ht="18" customHeight="1" x14ac:dyDescent="0.25">
      <c r="A10" s="7">
        <v>1</v>
      </c>
      <c r="B10" s="8">
        <v>45703</v>
      </c>
      <c r="C10" s="15" t="s">
        <v>42</v>
      </c>
      <c r="D10" s="10" t="s">
        <v>20</v>
      </c>
      <c r="E10" s="30">
        <v>450</v>
      </c>
      <c r="F10" s="12"/>
      <c r="G10" s="13">
        <f>+G9+E10-F10</f>
        <v>450</v>
      </c>
      <c r="H10" s="7" t="s">
        <v>26</v>
      </c>
      <c r="I10" s="7" t="s">
        <v>25</v>
      </c>
    </row>
    <row r="11" spans="1:11" ht="18" customHeight="1" x14ac:dyDescent="0.25">
      <c r="A11" s="14">
        <v>2</v>
      </c>
      <c r="B11" s="8">
        <v>45705</v>
      </c>
      <c r="C11" s="15" t="s">
        <v>42</v>
      </c>
      <c r="D11" s="10" t="s">
        <v>20</v>
      </c>
      <c r="E11" s="16">
        <v>50</v>
      </c>
      <c r="F11" s="27"/>
      <c r="G11" s="13">
        <f t="shared" ref="G11:G83" si="0">+G10+E11-F11</f>
        <v>500</v>
      </c>
      <c r="H11" s="7" t="s">
        <v>26</v>
      </c>
      <c r="I11" s="7" t="s">
        <v>25</v>
      </c>
    </row>
    <row r="12" spans="1:11" ht="18" customHeight="1" x14ac:dyDescent="0.25">
      <c r="A12" s="14">
        <f t="shared" ref="A12:A83" si="1">+A11+1</f>
        <v>3</v>
      </c>
      <c r="B12" s="8">
        <v>45716</v>
      </c>
      <c r="C12" s="15"/>
      <c r="D12" s="10" t="s">
        <v>20</v>
      </c>
      <c r="E12" s="16"/>
      <c r="F12" s="27">
        <v>22</v>
      </c>
      <c r="G12" s="13">
        <f t="shared" si="0"/>
        <v>478</v>
      </c>
      <c r="H12" s="7" t="s">
        <v>26</v>
      </c>
      <c r="I12" s="7" t="s">
        <v>25</v>
      </c>
      <c r="J12" s="26"/>
      <c r="K12">
        <v>22</v>
      </c>
    </row>
    <row r="13" spans="1:11" ht="18" customHeight="1" x14ac:dyDescent="0.25">
      <c r="A13" s="14">
        <f t="shared" si="1"/>
        <v>4</v>
      </c>
      <c r="B13" s="8">
        <v>45723</v>
      </c>
      <c r="C13" s="15"/>
      <c r="D13" s="10" t="s">
        <v>20</v>
      </c>
      <c r="E13" s="16"/>
      <c r="F13" s="184">
        <v>118</v>
      </c>
      <c r="G13" s="13">
        <f t="shared" si="0"/>
        <v>360</v>
      </c>
      <c r="H13" s="7" t="s">
        <v>26</v>
      </c>
      <c r="I13" s="7" t="s">
        <v>25</v>
      </c>
      <c r="K13">
        <v>118</v>
      </c>
    </row>
    <row r="14" spans="1:11" ht="18" customHeight="1" x14ac:dyDescent="0.25">
      <c r="A14" s="14">
        <f t="shared" si="1"/>
        <v>5</v>
      </c>
      <c r="B14" s="8">
        <v>45724</v>
      </c>
      <c r="C14" s="15"/>
      <c r="D14" s="10" t="s">
        <v>20</v>
      </c>
      <c r="E14" s="16"/>
      <c r="F14" s="184">
        <v>14</v>
      </c>
      <c r="G14" s="13">
        <f t="shared" si="0"/>
        <v>346</v>
      </c>
      <c r="H14" s="7" t="s">
        <v>26</v>
      </c>
      <c r="I14" s="7" t="s">
        <v>25</v>
      </c>
      <c r="K14">
        <v>14</v>
      </c>
    </row>
    <row r="15" spans="1:11" ht="18" customHeight="1" x14ac:dyDescent="0.25">
      <c r="A15" s="14">
        <f t="shared" si="1"/>
        <v>6</v>
      </c>
      <c r="B15" s="8">
        <v>45724</v>
      </c>
      <c r="C15" s="15" t="s">
        <v>113</v>
      </c>
      <c r="D15" s="10" t="s">
        <v>20</v>
      </c>
      <c r="E15" s="16">
        <v>57</v>
      </c>
      <c r="F15" s="17"/>
      <c r="G15" s="13">
        <f t="shared" si="0"/>
        <v>403</v>
      </c>
      <c r="H15" s="7"/>
      <c r="I15" s="7"/>
    </row>
    <row r="16" spans="1:11" ht="18" customHeight="1" x14ac:dyDescent="0.25">
      <c r="A16" s="14">
        <f t="shared" si="1"/>
        <v>7</v>
      </c>
      <c r="B16" s="8">
        <v>45729</v>
      </c>
      <c r="C16" s="15"/>
      <c r="D16" s="10" t="s">
        <v>20</v>
      </c>
      <c r="E16" s="16"/>
      <c r="F16" s="17">
        <v>141</v>
      </c>
      <c r="G16" s="13">
        <f t="shared" si="0"/>
        <v>262</v>
      </c>
      <c r="H16" s="7" t="s">
        <v>26</v>
      </c>
      <c r="I16" s="7" t="s">
        <v>25</v>
      </c>
      <c r="K16">
        <v>141</v>
      </c>
    </row>
    <row r="17" spans="1:17" ht="18" customHeight="1" x14ac:dyDescent="0.25">
      <c r="A17" s="14">
        <f t="shared" si="1"/>
        <v>8</v>
      </c>
      <c r="B17" s="8">
        <v>45730</v>
      </c>
      <c r="C17" s="15"/>
      <c r="D17" s="10" t="s">
        <v>20</v>
      </c>
      <c r="E17" s="16"/>
      <c r="F17" s="17">
        <v>120</v>
      </c>
      <c r="G17" s="13">
        <f t="shared" si="0"/>
        <v>142</v>
      </c>
      <c r="H17" s="7"/>
      <c r="I17" s="7"/>
      <c r="K17">
        <v>120</v>
      </c>
    </row>
    <row r="18" spans="1:17" ht="18" customHeight="1" x14ac:dyDescent="0.25">
      <c r="A18" s="14">
        <f t="shared" si="1"/>
        <v>9</v>
      </c>
      <c r="B18" s="8">
        <v>45735</v>
      </c>
      <c r="C18" s="15"/>
      <c r="D18" s="10" t="s">
        <v>20</v>
      </c>
      <c r="E18" s="16"/>
      <c r="F18" s="27">
        <v>99</v>
      </c>
      <c r="G18" s="13">
        <f t="shared" si="0"/>
        <v>43</v>
      </c>
      <c r="H18" s="7" t="s">
        <v>26</v>
      </c>
      <c r="I18" s="7" t="s">
        <v>25</v>
      </c>
      <c r="J18" s="26"/>
      <c r="K18">
        <v>99</v>
      </c>
    </row>
    <row r="19" spans="1:17" ht="18" customHeight="1" x14ac:dyDescent="0.25">
      <c r="A19" s="14">
        <f t="shared" si="1"/>
        <v>10</v>
      </c>
      <c r="B19" s="8">
        <v>45738</v>
      </c>
      <c r="C19" s="15"/>
      <c r="D19" s="10" t="s">
        <v>20</v>
      </c>
      <c r="E19" s="16"/>
      <c r="F19" s="17">
        <v>4</v>
      </c>
      <c r="G19" s="13">
        <f t="shared" si="0"/>
        <v>39</v>
      </c>
      <c r="H19" s="7" t="s">
        <v>26</v>
      </c>
      <c r="I19" s="7" t="s">
        <v>25</v>
      </c>
      <c r="K19">
        <v>4</v>
      </c>
    </row>
    <row r="20" spans="1:17" ht="18" customHeight="1" x14ac:dyDescent="0.25">
      <c r="A20" s="14">
        <f t="shared" si="1"/>
        <v>11</v>
      </c>
      <c r="B20" s="8">
        <v>45762</v>
      </c>
      <c r="C20" s="15"/>
      <c r="D20" s="10" t="s">
        <v>20</v>
      </c>
      <c r="E20" s="16"/>
      <c r="F20" s="27">
        <v>19</v>
      </c>
      <c r="G20" s="13">
        <f t="shared" si="0"/>
        <v>20</v>
      </c>
      <c r="H20" s="7" t="s">
        <v>26</v>
      </c>
      <c r="I20" s="7" t="s">
        <v>25</v>
      </c>
      <c r="K20">
        <v>19</v>
      </c>
    </row>
    <row r="21" spans="1:17" ht="18" customHeight="1" x14ac:dyDescent="0.25">
      <c r="A21" s="14">
        <f t="shared" si="1"/>
        <v>12</v>
      </c>
      <c r="B21" s="8">
        <v>45759</v>
      </c>
      <c r="C21" s="15"/>
      <c r="D21" s="10" t="s">
        <v>20</v>
      </c>
      <c r="E21" s="16">
        <v>300</v>
      </c>
      <c r="F21" s="17">
        <v>23</v>
      </c>
      <c r="G21" s="13">
        <f t="shared" si="0"/>
        <v>297</v>
      </c>
      <c r="H21" s="7" t="s">
        <v>26</v>
      </c>
      <c r="I21" s="7" t="s">
        <v>25</v>
      </c>
      <c r="K21">
        <f>SUM(K12:K20)</f>
        <v>537</v>
      </c>
    </row>
    <row r="22" spans="1:17" ht="18" customHeight="1" x14ac:dyDescent="0.25">
      <c r="A22" s="14">
        <f t="shared" si="1"/>
        <v>13</v>
      </c>
      <c r="B22" s="8"/>
      <c r="C22" s="15"/>
      <c r="D22" s="10" t="s">
        <v>20</v>
      </c>
      <c r="E22" s="30"/>
      <c r="F22" s="31"/>
      <c r="G22" s="13">
        <f t="shared" si="0"/>
        <v>297</v>
      </c>
      <c r="H22" s="7" t="s">
        <v>26</v>
      </c>
      <c r="I22" s="7" t="s">
        <v>25</v>
      </c>
      <c r="K22" s="220">
        <f>800-K21</f>
        <v>263</v>
      </c>
      <c r="N22">
        <f>3420-1143</f>
        <v>2277</v>
      </c>
    </row>
    <row r="23" spans="1:17" ht="18" customHeight="1" x14ac:dyDescent="0.25">
      <c r="A23" s="14">
        <f t="shared" si="1"/>
        <v>14</v>
      </c>
      <c r="B23" s="8"/>
      <c r="C23" s="15"/>
      <c r="D23" s="10" t="s">
        <v>20</v>
      </c>
      <c r="E23" s="16"/>
      <c r="F23" s="27"/>
      <c r="G23" s="13">
        <f t="shared" si="0"/>
        <v>297</v>
      </c>
      <c r="H23" s="7" t="s">
        <v>26</v>
      </c>
      <c r="I23" s="7" t="s">
        <v>25</v>
      </c>
    </row>
    <row r="24" spans="1:17" ht="18" customHeight="1" x14ac:dyDescent="0.25">
      <c r="A24" s="14">
        <f t="shared" si="1"/>
        <v>15</v>
      </c>
      <c r="B24" s="8"/>
      <c r="C24" s="15"/>
      <c r="D24" s="10" t="s">
        <v>20</v>
      </c>
      <c r="E24" s="16"/>
      <c r="F24" s="27"/>
      <c r="G24" s="13">
        <f t="shared" si="0"/>
        <v>297</v>
      </c>
      <c r="H24" s="7" t="s">
        <v>26</v>
      </c>
      <c r="I24" s="7" t="s">
        <v>25</v>
      </c>
    </row>
    <row r="25" spans="1:17" ht="18" customHeight="1" x14ac:dyDescent="0.25">
      <c r="A25" s="14">
        <f t="shared" si="1"/>
        <v>16</v>
      </c>
      <c r="B25" s="8"/>
      <c r="C25" s="15"/>
      <c r="D25" s="10" t="s">
        <v>20</v>
      </c>
      <c r="E25" s="16"/>
      <c r="F25" s="27"/>
      <c r="G25" s="13">
        <f t="shared" si="0"/>
        <v>297</v>
      </c>
      <c r="H25" s="7" t="s">
        <v>26</v>
      </c>
      <c r="I25" s="7" t="s">
        <v>25</v>
      </c>
    </row>
    <row r="26" spans="1:17" ht="18" customHeight="1" x14ac:dyDescent="0.25">
      <c r="A26" s="14">
        <f t="shared" si="1"/>
        <v>17</v>
      </c>
      <c r="B26" s="8"/>
      <c r="C26" s="15"/>
      <c r="D26" s="10" t="s">
        <v>20</v>
      </c>
      <c r="E26" s="32"/>
      <c r="F26" s="27"/>
      <c r="G26" s="13">
        <f t="shared" si="0"/>
        <v>297</v>
      </c>
      <c r="H26" s="7" t="s">
        <v>26</v>
      </c>
      <c r="I26" s="7" t="s">
        <v>25</v>
      </c>
      <c r="Q26">
        <f>280+44</f>
        <v>324</v>
      </c>
    </row>
    <row r="27" spans="1:17" ht="18" customHeight="1" x14ac:dyDescent="0.25">
      <c r="A27" s="14">
        <f t="shared" si="1"/>
        <v>18</v>
      </c>
      <c r="B27" s="8"/>
      <c r="C27" s="15"/>
      <c r="D27" s="10" t="s">
        <v>20</v>
      </c>
      <c r="E27" s="32"/>
      <c r="F27" s="27"/>
      <c r="G27" s="13">
        <f t="shared" si="0"/>
        <v>297</v>
      </c>
      <c r="H27" s="7" t="s">
        <v>26</v>
      </c>
      <c r="I27" s="7" t="s">
        <v>25</v>
      </c>
    </row>
    <row r="28" spans="1:17" ht="18" customHeight="1" x14ac:dyDescent="0.25">
      <c r="A28" s="14">
        <f t="shared" si="1"/>
        <v>19</v>
      </c>
      <c r="B28" s="8"/>
      <c r="C28" s="15"/>
      <c r="D28" s="10" t="s">
        <v>20</v>
      </c>
      <c r="E28" s="32"/>
      <c r="F28" s="27"/>
      <c r="G28" s="13">
        <f t="shared" si="0"/>
        <v>297</v>
      </c>
      <c r="H28" s="7" t="s">
        <v>26</v>
      </c>
      <c r="I28" s="7" t="s">
        <v>25</v>
      </c>
    </row>
    <row r="29" spans="1:17" ht="18" customHeight="1" x14ac:dyDescent="0.25">
      <c r="A29" s="14">
        <f t="shared" si="1"/>
        <v>20</v>
      </c>
      <c r="B29" s="8"/>
      <c r="C29" s="15"/>
      <c r="D29" s="10" t="s">
        <v>20</v>
      </c>
      <c r="E29" s="32"/>
      <c r="F29" s="27"/>
      <c r="G29" s="13">
        <f t="shared" si="0"/>
        <v>297</v>
      </c>
      <c r="H29" s="7" t="s">
        <v>26</v>
      </c>
      <c r="I29" s="7" t="s">
        <v>25</v>
      </c>
    </row>
    <row r="30" spans="1:17" ht="18" customHeight="1" x14ac:dyDescent="0.25">
      <c r="A30" s="14">
        <f t="shared" si="1"/>
        <v>21</v>
      </c>
      <c r="B30" s="8"/>
      <c r="C30" s="15"/>
      <c r="D30" s="10" t="s">
        <v>20</v>
      </c>
      <c r="E30" s="32"/>
      <c r="F30" s="27"/>
      <c r="G30" s="13">
        <f t="shared" si="0"/>
        <v>297</v>
      </c>
      <c r="H30" s="7" t="s">
        <v>32</v>
      </c>
      <c r="I30" s="7" t="s">
        <v>36</v>
      </c>
    </row>
    <row r="31" spans="1:17" ht="18" customHeight="1" x14ac:dyDescent="0.25">
      <c r="A31" s="14">
        <f t="shared" si="1"/>
        <v>22</v>
      </c>
      <c r="B31" s="8"/>
      <c r="C31" s="15"/>
      <c r="D31" s="10" t="s">
        <v>20</v>
      </c>
      <c r="E31" s="32"/>
      <c r="F31" s="27"/>
      <c r="G31" s="13">
        <f t="shared" si="0"/>
        <v>297</v>
      </c>
      <c r="H31" s="7" t="s">
        <v>32</v>
      </c>
      <c r="I31" s="7" t="s">
        <v>25</v>
      </c>
    </row>
    <row r="32" spans="1:17" ht="18" customHeight="1" x14ac:dyDescent="0.25">
      <c r="A32" s="14">
        <f t="shared" si="1"/>
        <v>23</v>
      </c>
      <c r="B32" s="8"/>
      <c r="C32" s="15"/>
      <c r="D32" s="10" t="s">
        <v>20</v>
      </c>
      <c r="E32" s="32"/>
      <c r="F32" s="27"/>
      <c r="G32" s="13">
        <f t="shared" si="0"/>
        <v>297</v>
      </c>
      <c r="H32" s="7" t="s">
        <v>32</v>
      </c>
      <c r="I32" s="7" t="s">
        <v>25</v>
      </c>
    </row>
    <row r="33" spans="1:9" ht="18" customHeight="1" x14ac:dyDescent="0.25">
      <c r="A33" s="14">
        <f t="shared" si="1"/>
        <v>24</v>
      </c>
      <c r="B33" s="8"/>
      <c r="C33" s="15"/>
      <c r="D33" s="10" t="s">
        <v>12</v>
      </c>
      <c r="E33" s="32"/>
      <c r="F33" s="27"/>
      <c r="G33" s="13">
        <f t="shared" si="0"/>
        <v>297</v>
      </c>
      <c r="H33" s="7" t="s">
        <v>34</v>
      </c>
      <c r="I33" s="7" t="s">
        <v>25</v>
      </c>
    </row>
    <row r="34" spans="1:9" ht="18" customHeight="1" x14ac:dyDescent="0.25">
      <c r="A34" s="14">
        <f t="shared" si="1"/>
        <v>25</v>
      </c>
      <c r="B34" s="8"/>
      <c r="C34" s="15"/>
      <c r="D34" s="10" t="s">
        <v>12</v>
      </c>
      <c r="E34" s="32"/>
      <c r="F34" s="27"/>
      <c r="G34" s="13">
        <f t="shared" si="0"/>
        <v>297</v>
      </c>
      <c r="H34" s="7"/>
      <c r="I34" s="7"/>
    </row>
    <row r="35" spans="1:9" ht="18" customHeight="1" x14ac:dyDescent="0.25">
      <c r="A35" s="14">
        <f t="shared" si="1"/>
        <v>26</v>
      </c>
      <c r="B35" s="8"/>
      <c r="C35" s="15"/>
      <c r="D35" s="10" t="s">
        <v>12</v>
      </c>
      <c r="E35" s="32"/>
      <c r="F35" s="27"/>
      <c r="G35" s="13">
        <f t="shared" si="0"/>
        <v>297</v>
      </c>
      <c r="H35" s="7" t="s">
        <v>26</v>
      </c>
      <c r="I35" s="7" t="s">
        <v>25</v>
      </c>
    </row>
    <row r="36" spans="1:9" ht="18" customHeight="1" x14ac:dyDescent="0.25">
      <c r="A36" s="14">
        <f t="shared" si="1"/>
        <v>27</v>
      </c>
      <c r="B36" s="8"/>
      <c r="C36" s="15"/>
      <c r="D36" s="10" t="s">
        <v>12</v>
      </c>
      <c r="E36" s="32"/>
      <c r="F36" s="27"/>
      <c r="G36" s="13">
        <f t="shared" si="0"/>
        <v>297</v>
      </c>
      <c r="H36" s="7" t="s">
        <v>26</v>
      </c>
      <c r="I36" s="7" t="s">
        <v>25</v>
      </c>
    </row>
    <row r="37" spans="1:9" ht="18" customHeight="1" x14ac:dyDescent="0.25">
      <c r="A37" s="14">
        <f t="shared" si="1"/>
        <v>28</v>
      </c>
      <c r="B37" s="8"/>
      <c r="C37" s="15"/>
      <c r="D37" s="10" t="s">
        <v>12</v>
      </c>
      <c r="E37" s="32"/>
      <c r="F37" s="27"/>
      <c r="G37" s="13">
        <f t="shared" si="0"/>
        <v>297</v>
      </c>
      <c r="H37" s="7" t="s">
        <v>26</v>
      </c>
      <c r="I37" s="7" t="s">
        <v>25</v>
      </c>
    </row>
    <row r="38" spans="1:9" ht="18" customHeight="1" x14ac:dyDescent="0.25">
      <c r="A38" s="14">
        <f t="shared" si="1"/>
        <v>29</v>
      </c>
      <c r="B38" s="8"/>
      <c r="C38" s="15"/>
      <c r="D38" s="10" t="s">
        <v>12</v>
      </c>
      <c r="E38" s="32"/>
      <c r="F38" s="27"/>
      <c r="G38" s="13">
        <f t="shared" si="0"/>
        <v>297</v>
      </c>
      <c r="H38" s="7" t="s">
        <v>26</v>
      </c>
      <c r="I38" s="7" t="s">
        <v>25</v>
      </c>
    </row>
    <row r="39" spans="1:9" ht="18" customHeight="1" x14ac:dyDescent="0.25">
      <c r="A39" s="14">
        <f t="shared" si="1"/>
        <v>30</v>
      </c>
      <c r="B39" s="8"/>
      <c r="C39" s="15"/>
      <c r="D39" s="10" t="s">
        <v>12</v>
      </c>
      <c r="E39" s="32"/>
      <c r="F39" s="27"/>
      <c r="G39" s="13">
        <f t="shared" si="0"/>
        <v>297</v>
      </c>
      <c r="H39" s="7" t="s">
        <v>26</v>
      </c>
      <c r="I39" s="7" t="s">
        <v>25</v>
      </c>
    </row>
    <row r="40" spans="1:9" ht="18" customHeight="1" x14ac:dyDescent="0.25">
      <c r="A40" s="14">
        <f t="shared" si="1"/>
        <v>31</v>
      </c>
      <c r="B40" s="8"/>
      <c r="C40" s="15"/>
      <c r="D40" s="10" t="s">
        <v>12</v>
      </c>
      <c r="E40" s="32"/>
      <c r="F40" s="27"/>
      <c r="G40" s="13">
        <f t="shared" si="0"/>
        <v>297</v>
      </c>
      <c r="H40" s="7" t="s">
        <v>26</v>
      </c>
      <c r="I40" s="7" t="s">
        <v>25</v>
      </c>
    </row>
    <row r="41" spans="1:9" ht="18" customHeight="1" x14ac:dyDescent="0.25">
      <c r="A41" s="14">
        <f t="shared" si="1"/>
        <v>32</v>
      </c>
      <c r="B41" s="107"/>
      <c r="C41" s="15"/>
      <c r="D41" s="10" t="s">
        <v>12</v>
      </c>
      <c r="E41" s="32"/>
      <c r="F41" s="31"/>
      <c r="G41" s="13">
        <f t="shared" si="0"/>
        <v>297</v>
      </c>
      <c r="H41" s="7" t="s">
        <v>26</v>
      </c>
      <c r="I41" s="7" t="s">
        <v>25</v>
      </c>
    </row>
    <row r="42" spans="1:9" ht="18" customHeight="1" x14ac:dyDescent="0.25">
      <c r="A42" s="14">
        <f t="shared" si="1"/>
        <v>33</v>
      </c>
      <c r="B42" s="107"/>
      <c r="C42" s="15"/>
      <c r="D42" s="10" t="s">
        <v>12</v>
      </c>
      <c r="E42" s="32"/>
      <c r="F42" s="31"/>
      <c r="G42" s="13">
        <f t="shared" si="0"/>
        <v>297</v>
      </c>
      <c r="H42" s="7" t="s">
        <v>26</v>
      </c>
      <c r="I42" s="7" t="s">
        <v>25</v>
      </c>
    </row>
    <row r="43" spans="1:9" ht="18" customHeight="1" x14ac:dyDescent="0.25">
      <c r="A43" s="14">
        <f t="shared" si="1"/>
        <v>34</v>
      </c>
      <c r="B43" s="158"/>
      <c r="C43" s="15"/>
      <c r="D43" s="10" t="s">
        <v>12</v>
      </c>
      <c r="E43" s="32"/>
      <c r="F43" s="31"/>
      <c r="G43" s="13">
        <f t="shared" si="0"/>
        <v>297</v>
      </c>
      <c r="H43" s="7"/>
      <c r="I43" s="7"/>
    </row>
    <row r="44" spans="1:9" ht="18" customHeight="1" x14ac:dyDescent="0.25">
      <c r="A44" s="14">
        <f t="shared" si="1"/>
        <v>35</v>
      </c>
      <c r="B44" s="158"/>
      <c r="C44" s="15"/>
      <c r="D44" s="10" t="s">
        <v>12</v>
      </c>
      <c r="E44" s="32"/>
      <c r="F44" s="31"/>
      <c r="G44" s="13">
        <f t="shared" si="0"/>
        <v>297</v>
      </c>
      <c r="H44" s="7"/>
      <c r="I44" s="7"/>
    </row>
    <row r="45" spans="1:9" ht="18" customHeight="1" x14ac:dyDescent="0.25">
      <c r="A45" s="14">
        <f t="shared" si="1"/>
        <v>36</v>
      </c>
      <c r="B45" s="107"/>
      <c r="C45" s="15"/>
      <c r="D45" s="10" t="s">
        <v>12</v>
      </c>
      <c r="E45" s="32"/>
      <c r="F45" s="31"/>
      <c r="G45" s="13">
        <f t="shared" si="0"/>
        <v>297</v>
      </c>
      <c r="H45" s="7"/>
      <c r="I45" s="7"/>
    </row>
    <row r="46" spans="1:9" ht="18" customHeight="1" x14ac:dyDescent="0.25">
      <c r="A46" s="14">
        <f t="shared" si="1"/>
        <v>37</v>
      </c>
      <c r="B46" s="8"/>
      <c r="C46" s="15"/>
      <c r="D46" s="10" t="s">
        <v>12</v>
      </c>
      <c r="E46" s="32"/>
      <c r="F46" s="27"/>
      <c r="G46" s="13">
        <f t="shared" si="0"/>
        <v>297</v>
      </c>
      <c r="H46" s="7" t="s">
        <v>26</v>
      </c>
      <c r="I46" s="7" t="s">
        <v>25</v>
      </c>
    </row>
    <row r="47" spans="1:9" ht="18" customHeight="1" x14ac:dyDescent="0.25">
      <c r="A47" s="14">
        <f t="shared" si="1"/>
        <v>38</v>
      </c>
      <c r="B47" s="8"/>
      <c r="C47" s="15"/>
      <c r="D47" s="10" t="s">
        <v>12</v>
      </c>
      <c r="E47" s="32"/>
      <c r="F47" s="27"/>
      <c r="G47" s="13">
        <f t="shared" si="0"/>
        <v>297</v>
      </c>
      <c r="H47" s="7" t="s">
        <v>26</v>
      </c>
      <c r="I47" s="7" t="s">
        <v>25</v>
      </c>
    </row>
    <row r="48" spans="1:9" ht="18" customHeight="1" x14ac:dyDescent="0.25">
      <c r="A48" s="14">
        <f t="shared" si="1"/>
        <v>39</v>
      </c>
      <c r="B48" s="8"/>
      <c r="C48" s="15"/>
      <c r="D48" s="10" t="s">
        <v>12</v>
      </c>
      <c r="E48" s="32"/>
      <c r="F48" s="27"/>
      <c r="G48" s="13">
        <f t="shared" si="0"/>
        <v>297</v>
      </c>
      <c r="H48" s="7" t="s">
        <v>26</v>
      </c>
      <c r="I48" s="7" t="s">
        <v>25</v>
      </c>
    </row>
    <row r="49" spans="1:10" ht="18" customHeight="1" x14ac:dyDescent="0.25">
      <c r="A49" s="14">
        <f t="shared" si="1"/>
        <v>40</v>
      </c>
      <c r="B49" s="8"/>
      <c r="C49" s="15"/>
      <c r="D49" s="10" t="s">
        <v>12</v>
      </c>
      <c r="E49" s="32"/>
      <c r="F49" s="27"/>
      <c r="G49" s="13">
        <f t="shared" si="0"/>
        <v>297</v>
      </c>
      <c r="H49" s="7" t="s">
        <v>26</v>
      </c>
      <c r="I49" s="7" t="s">
        <v>25</v>
      </c>
    </row>
    <row r="50" spans="1:10" ht="18" customHeight="1" x14ac:dyDescent="0.25">
      <c r="A50" s="14">
        <f t="shared" si="1"/>
        <v>41</v>
      </c>
      <c r="B50" s="8"/>
      <c r="C50" s="15"/>
      <c r="D50" s="10" t="s">
        <v>12</v>
      </c>
      <c r="E50" s="32"/>
      <c r="F50" s="27"/>
      <c r="G50" s="13">
        <f t="shared" si="0"/>
        <v>297</v>
      </c>
      <c r="H50" s="7" t="s">
        <v>26</v>
      </c>
      <c r="I50" s="7" t="s">
        <v>25</v>
      </c>
    </row>
    <row r="51" spans="1:10" ht="18" customHeight="1" x14ac:dyDescent="0.25">
      <c r="A51" s="14">
        <f t="shared" si="1"/>
        <v>42</v>
      </c>
      <c r="B51" s="8"/>
      <c r="C51" s="15"/>
      <c r="D51" s="10" t="s">
        <v>12</v>
      </c>
      <c r="E51" s="32"/>
      <c r="F51" s="27"/>
      <c r="G51" s="13">
        <f t="shared" si="0"/>
        <v>297</v>
      </c>
      <c r="H51" s="7" t="s">
        <v>26</v>
      </c>
      <c r="I51" s="7" t="s">
        <v>25</v>
      </c>
      <c r="J51" t="s">
        <v>22</v>
      </c>
    </row>
    <row r="52" spans="1:10" ht="18" customHeight="1" x14ac:dyDescent="0.25">
      <c r="A52" s="14">
        <f t="shared" si="1"/>
        <v>43</v>
      </c>
      <c r="B52" s="8"/>
      <c r="C52" s="15"/>
      <c r="D52" s="10" t="s">
        <v>12</v>
      </c>
      <c r="E52" s="32"/>
      <c r="F52" s="27"/>
      <c r="G52" s="13">
        <f t="shared" si="0"/>
        <v>297</v>
      </c>
      <c r="H52" s="7" t="s">
        <v>26</v>
      </c>
      <c r="I52" s="7" t="s">
        <v>25</v>
      </c>
    </row>
    <row r="53" spans="1:10" ht="18" customHeight="1" x14ac:dyDescent="0.25">
      <c r="A53" s="14">
        <f t="shared" si="1"/>
        <v>44</v>
      </c>
      <c r="B53" s="8"/>
      <c r="C53" s="15"/>
      <c r="D53" s="10" t="s">
        <v>12</v>
      </c>
      <c r="E53" s="32"/>
      <c r="F53" s="27"/>
      <c r="G53" s="13">
        <f t="shared" si="0"/>
        <v>297</v>
      </c>
      <c r="H53" s="7" t="s">
        <v>26</v>
      </c>
      <c r="I53" s="7" t="s">
        <v>25</v>
      </c>
      <c r="J53" t="s">
        <v>23</v>
      </c>
    </row>
    <row r="54" spans="1:10" ht="18" customHeight="1" x14ac:dyDescent="0.25">
      <c r="A54" s="14">
        <f t="shared" si="1"/>
        <v>45</v>
      </c>
      <c r="B54" s="8"/>
      <c r="C54" s="15"/>
      <c r="D54" s="10" t="s">
        <v>12</v>
      </c>
      <c r="E54" s="32"/>
      <c r="F54" s="27"/>
      <c r="G54" s="13">
        <f t="shared" si="0"/>
        <v>297</v>
      </c>
      <c r="H54" s="7" t="s">
        <v>26</v>
      </c>
      <c r="I54" s="7" t="s">
        <v>25</v>
      </c>
    </row>
    <row r="55" spans="1:10" ht="18" customHeight="1" x14ac:dyDescent="0.25">
      <c r="A55" s="14">
        <f t="shared" si="1"/>
        <v>46</v>
      </c>
      <c r="B55" s="8"/>
      <c r="C55" s="15"/>
      <c r="D55" s="10" t="s">
        <v>12</v>
      </c>
      <c r="E55" s="32"/>
      <c r="F55" s="27"/>
      <c r="G55" s="13">
        <f t="shared" si="0"/>
        <v>297</v>
      </c>
      <c r="H55" s="7" t="s">
        <v>26</v>
      </c>
      <c r="I55" s="7" t="s">
        <v>25</v>
      </c>
    </row>
    <row r="56" spans="1:10" ht="18" customHeight="1" x14ac:dyDescent="0.25">
      <c r="A56" s="14">
        <f t="shared" si="1"/>
        <v>47</v>
      </c>
      <c r="B56" s="8"/>
      <c r="C56" s="15"/>
      <c r="D56" s="10" t="s">
        <v>12</v>
      </c>
      <c r="E56" s="32"/>
      <c r="F56" s="27"/>
      <c r="G56" s="13">
        <f t="shared" si="0"/>
        <v>297</v>
      </c>
      <c r="H56" s="7" t="s">
        <v>26</v>
      </c>
      <c r="I56" s="7" t="s">
        <v>25</v>
      </c>
    </row>
    <row r="57" spans="1:10" ht="18" customHeight="1" x14ac:dyDescent="0.25">
      <c r="A57" s="14">
        <f t="shared" si="1"/>
        <v>48</v>
      </c>
      <c r="B57" s="8"/>
      <c r="C57" s="15"/>
      <c r="D57" s="10" t="s">
        <v>12</v>
      </c>
      <c r="E57" s="32"/>
      <c r="F57" s="27"/>
      <c r="G57" s="13">
        <f t="shared" si="0"/>
        <v>297</v>
      </c>
      <c r="H57" s="7" t="s">
        <v>26</v>
      </c>
      <c r="I57" s="7" t="s">
        <v>25</v>
      </c>
    </row>
    <row r="58" spans="1:10" ht="18" customHeight="1" x14ac:dyDescent="0.25">
      <c r="A58" s="14">
        <f t="shared" si="1"/>
        <v>49</v>
      </c>
      <c r="B58" s="8"/>
      <c r="C58" s="15"/>
      <c r="D58" s="10" t="s">
        <v>12</v>
      </c>
      <c r="E58" s="32"/>
      <c r="F58" s="27"/>
      <c r="G58" s="13">
        <f t="shared" si="0"/>
        <v>297</v>
      </c>
      <c r="H58" s="7"/>
      <c r="I58" s="7"/>
    </row>
    <row r="59" spans="1:10" ht="18" customHeight="1" x14ac:dyDescent="0.25">
      <c r="A59" s="14">
        <f t="shared" si="1"/>
        <v>50</v>
      </c>
      <c r="B59" s="8"/>
      <c r="C59" s="15"/>
      <c r="D59" s="10" t="s">
        <v>12</v>
      </c>
      <c r="E59" s="32"/>
      <c r="F59" s="27"/>
      <c r="G59" s="13">
        <f t="shared" si="0"/>
        <v>297</v>
      </c>
      <c r="H59" s="7"/>
      <c r="I59" s="7"/>
    </row>
    <row r="60" spans="1:10" ht="18" customHeight="1" x14ac:dyDescent="0.25">
      <c r="A60" s="14">
        <f t="shared" si="1"/>
        <v>51</v>
      </c>
      <c r="B60" s="8"/>
      <c r="C60" s="15"/>
      <c r="D60" s="10" t="s">
        <v>12</v>
      </c>
      <c r="E60" s="32"/>
      <c r="F60" s="27"/>
      <c r="G60" s="13">
        <f t="shared" si="0"/>
        <v>297</v>
      </c>
      <c r="H60" s="7"/>
      <c r="I60" s="7"/>
    </row>
    <row r="61" spans="1:10" ht="18" customHeight="1" x14ac:dyDescent="0.25">
      <c r="A61" s="14">
        <f t="shared" si="1"/>
        <v>52</v>
      </c>
      <c r="B61" s="8"/>
      <c r="C61" s="15"/>
      <c r="D61" s="10" t="s">
        <v>12</v>
      </c>
      <c r="E61" s="32"/>
      <c r="F61" s="27"/>
      <c r="G61" s="13">
        <f t="shared" si="0"/>
        <v>297</v>
      </c>
      <c r="H61" s="7"/>
      <c r="I61" s="7"/>
    </row>
    <row r="62" spans="1:10" ht="18" customHeight="1" x14ac:dyDescent="0.25">
      <c r="A62" s="14">
        <f t="shared" si="1"/>
        <v>53</v>
      </c>
      <c r="B62" s="8"/>
      <c r="C62" s="15"/>
      <c r="D62" s="10" t="s">
        <v>12</v>
      </c>
      <c r="E62" s="32"/>
      <c r="F62" s="27"/>
      <c r="G62" s="13">
        <f t="shared" si="0"/>
        <v>297</v>
      </c>
      <c r="H62" s="7"/>
      <c r="I62" s="7"/>
    </row>
    <row r="63" spans="1:10" ht="18" customHeight="1" x14ac:dyDescent="0.25">
      <c r="A63" s="14">
        <f t="shared" si="1"/>
        <v>54</v>
      </c>
      <c r="B63" s="8"/>
      <c r="C63" s="15"/>
      <c r="D63" s="10" t="s">
        <v>12</v>
      </c>
      <c r="E63" s="32"/>
      <c r="F63" s="27"/>
      <c r="G63" s="13">
        <f t="shared" si="0"/>
        <v>297</v>
      </c>
      <c r="H63" s="7"/>
      <c r="I63" s="7"/>
    </row>
    <row r="64" spans="1:10" ht="18" customHeight="1" x14ac:dyDescent="0.25">
      <c r="A64" s="14">
        <f t="shared" si="1"/>
        <v>55</v>
      </c>
      <c r="B64" s="8"/>
      <c r="C64" s="15"/>
      <c r="D64" s="10" t="s">
        <v>12</v>
      </c>
      <c r="E64" s="32"/>
      <c r="F64" s="27"/>
      <c r="G64" s="13">
        <f t="shared" si="0"/>
        <v>297</v>
      </c>
      <c r="H64" s="7"/>
      <c r="I64" s="7"/>
    </row>
    <row r="65" spans="1:9" ht="18" customHeight="1" x14ac:dyDescent="0.25">
      <c r="A65" s="14">
        <f t="shared" si="1"/>
        <v>56</v>
      </c>
      <c r="B65" s="8"/>
      <c r="C65" s="15"/>
      <c r="D65" s="10" t="s">
        <v>12</v>
      </c>
      <c r="E65" s="32"/>
      <c r="F65" s="27"/>
      <c r="G65" s="13">
        <f t="shared" si="0"/>
        <v>297</v>
      </c>
      <c r="H65" s="7"/>
      <c r="I65" s="7"/>
    </row>
    <row r="66" spans="1:9" ht="18" customHeight="1" x14ac:dyDescent="0.25">
      <c r="A66" s="14">
        <f t="shared" si="1"/>
        <v>57</v>
      </c>
      <c r="B66" s="8"/>
      <c r="C66" s="15"/>
      <c r="D66" s="10" t="s">
        <v>12</v>
      </c>
      <c r="E66" s="32"/>
      <c r="F66" s="27"/>
      <c r="G66" s="13">
        <f t="shared" si="0"/>
        <v>297</v>
      </c>
      <c r="H66" s="7"/>
      <c r="I66" s="7"/>
    </row>
    <row r="67" spans="1:9" ht="18" customHeight="1" x14ac:dyDescent="0.25">
      <c r="A67" s="14">
        <f t="shared" si="1"/>
        <v>58</v>
      </c>
      <c r="B67" s="8"/>
      <c r="C67" s="15"/>
      <c r="D67" s="10" t="s">
        <v>12</v>
      </c>
      <c r="E67" s="32"/>
      <c r="F67" s="27"/>
      <c r="G67" s="13">
        <f t="shared" si="0"/>
        <v>297</v>
      </c>
      <c r="H67" s="7"/>
      <c r="I67" s="7"/>
    </row>
    <row r="68" spans="1:9" ht="18" customHeight="1" x14ac:dyDescent="0.25">
      <c r="A68" s="14">
        <f t="shared" si="1"/>
        <v>59</v>
      </c>
      <c r="B68" s="8"/>
      <c r="C68" s="15"/>
      <c r="D68" s="10" t="s">
        <v>12</v>
      </c>
      <c r="E68" s="32"/>
      <c r="F68" s="27"/>
      <c r="G68" s="13">
        <f t="shared" si="0"/>
        <v>297</v>
      </c>
      <c r="H68" s="7"/>
      <c r="I68" s="7"/>
    </row>
    <row r="69" spans="1:9" ht="18" customHeight="1" x14ac:dyDescent="0.25">
      <c r="A69" s="14">
        <f t="shared" si="1"/>
        <v>60</v>
      </c>
      <c r="B69" s="8"/>
      <c r="C69" s="15"/>
      <c r="D69" s="10" t="s">
        <v>12</v>
      </c>
      <c r="E69" s="32"/>
      <c r="F69" s="27"/>
      <c r="G69" s="13">
        <f t="shared" si="0"/>
        <v>297</v>
      </c>
      <c r="H69" s="7"/>
      <c r="I69" s="7"/>
    </row>
    <row r="70" spans="1:9" ht="18" customHeight="1" x14ac:dyDescent="0.25">
      <c r="A70" s="14">
        <f t="shared" si="1"/>
        <v>61</v>
      </c>
      <c r="B70" s="8"/>
      <c r="C70" s="15"/>
      <c r="D70" s="10" t="s">
        <v>12</v>
      </c>
      <c r="E70" s="32"/>
      <c r="F70" s="27"/>
      <c r="G70" s="13">
        <f t="shared" si="0"/>
        <v>297</v>
      </c>
      <c r="H70" s="7"/>
      <c r="I70" s="7"/>
    </row>
    <row r="71" spans="1:9" ht="18" customHeight="1" x14ac:dyDescent="0.25">
      <c r="A71" s="14">
        <f t="shared" si="1"/>
        <v>62</v>
      </c>
      <c r="B71" s="8"/>
      <c r="C71" s="15"/>
      <c r="D71" s="10" t="s">
        <v>12</v>
      </c>
      <c r="E71" s="32"/>
      <c r="F71" s="27"/>
      <c r="G71" s="13">
        <f t="shared" si="0"/>
        <v>297</v>
      </c>
      <c r="H71" s="7"/>
      <c r="I71" s="7"/>
    </row>
    <row r="72" spans="1:9" ht="18" customHeight="1" x14ac:dyDescent="0.25">
      <c r="A72" s="14">
        <f t="shared" si="1"/>
        <v>63</v>
      </c>
      <c r="B72" s="8"/>
      <c r="C72" s="15"/>
      <c r="D72" s="10" t="s">
        <v>12</v>
      </c>
      <c r="E72" s="32"/>
      <c r="F72" s="27"/>
      <c r="G72" s="13">
        <f t="shared" si="0"/>
        <v>297</v>
      </c>
      <c r="H72" s="7"/>
      <c r="I72" s="7"/>
    </row>
    <row r="73" spans="1:9" ht="18" customHeight="1" x14ac:dyDescent="0.25">
      <c r="A73" s="14">
        <f t="shared" si="1"/>
        <v>64</v>
      </c>
      <c r="B73" s="8"/>
      <c r="C73" s="15"/>
      <c r="D73" s="10" t="s">
        <v>12</v>
      </c>
      <c r="E73" s="32"/>
      <c r="F73" s="27"/>
      <c r="G73" s="13">
        <f t="shared" si="0"/>
        <v>297</v>
      </c>
      <c r="H73" s="7"/>
      <c r="I73" s="7"/>
    </row>
    <row r="74" spans="1:9" ht="18" customHeight="1" x14ac:dyDescent="0.25">
      <c r="A74" s="14">
        <f t="shared" si="1"/>
        <v>65</v>
      </c>
      <c r="B74" s="8"/>
      <c r="C74" s="15"/>
      <c r="D74" s="10" t="s">
        <v>12</v>
      </c>
      <c r="E74" s="32"/>
      <c r="F74" s="27"/>
      <c r="G74" s="13">
        <f t="shared" si="0"/>
        <v>297</v>
      </c>
      <c r="H74" s="7"/>
      <c r="I74" s="7"/>
    </row>
    <row r="75" spans="1:9" ht="18" customHeight="1" x14ac:dyDescent="0.25">
      <c r="A75" s="14">
        <f t="shared" si="1"/>
        <v>66</v>
      </c>
      <c r="B75" s="8"/>
      <c r="C75" s="15"/>
      <c r="D75" s="10" t="s">
        <v>12</v>
      </c>
      <c r="E75" s="32"/>
      <c r="F75" s="27"/>
      <c r="G75" s="13">
        <f t="shared" si="0"/>
        <v>297</v>
      </c>
      <c r="H75" s="7"/>
      <c r="I75" s="7"/>
    </row>
    <row r="76" spans="1:9" ht="18" customHeight="1" x14ac:dyDescent="0.25">
      <c r="A76" s="14">
        <f t="shared" si="1"/>
        <v>67</v>
      </c>
      <c r="B76" s="8"/>
      <c r="C76" s="15"/>
      <c r="D76" s="10" t="s">
        <v>12</v>
      </c>
      <c r="E76" s="32"/>
      <c r="F76" s="27"/>
      <c r="G76" s="13">
        <f t="shared" si="0"/>
        <v>297</v>
      </c>
      <c r="H76" s="7"/>
      <c r="I76" s="7"/>
    </row>
    <row r="77" spans="1:9" ht="18" customHeight="1" x14ac:dyDescent="0.25">
      <c r="A77" s="14">
        <f t="shared" si="1"/>
        <v>68</v>
      </c>
      <c r="B77" s="8"/>
      <c r="C77" s="15"/>
      <c r="D77" s="10" t="s">
        <v>12</v>
      </c>
      <c r="E77" s="32"/>
      <c r="F77" s="27"/>
      <c r="G77" s="13">
        <f t="shared" si="0"/>
        <v>297</v>
      </c>
      <c r="H77" s="7"/>
      <c r="I77" s="7"/>
    </row>
    <row r="78" spans="1:9" ht="18" customHeight="1" x14ac:dyDescent="0.25">
      <c r="A78" s="14">
        <f t="shared" si="1"/>
        <v>69</v>
      </c>
      <c r="B78" s="8"/>
      <c r="C78" s="15"/>
      <c r="D78" s="10" t="s">
        <v>12</v>
      </c>
      <c r="E78" s="32"/>
      <c r="F78" s="27"/>
      <c r="G78" s="13">
        <f t="shared" si="0"/>
        <v>297</v>
      </c>
      <c r="H78" s="7"/>
      <c r="I78" s="7"/>
    </row>
    <row r="79" spans="1:9" ht="18" customHeight="1" x14ac:dyDescent="0.25">
      <c r="A79" s="14">
        <f t="shared" si="1"/>
        <v>70</v>
      </c>
      <c r="B79" s="8"/>
      <c r="C79" s="15"/>
      <c r="D79" s="10" t="s">
        <v>12</v>
      </c>
      <c r="E79" s="32"/>
      <c r="F79" s="27"/>
      <c r="G79" s="13">
        <f t="shared" si="0"/>
        <v>297</v>
      </c>
      <c r="H79" s="7"/>
      <c r="I79" s="7"/>
    </row>
    <row r="80" spans="1:9" ht="18" customHeight="1" x14ac:dyDescent="0.25">
      <c r="A80" s="14">
        <f t="shared" si="1"/>
        <v>71</v>
      </c>
      <c r="B80" s="8"/>
      <c r="C80" s="15"/>
      <c r="D80" s="10" t="s">
        <v>12</v>
      </c>
      <c r="E80" s="32"/>
      <c r="F80" s="27"/>
      <c r="G80" s="13">
        <f t="shared" si="0"/>
        <v>297</v>
      </c>
      <c r="H80" s="7"/>
      <c r="I80" s="7"/>
    </row>
    <row r="81" spans="1:9" ht="18" customHeight="1" x14ac:dyDescent="0.25">
      <c r="A81" s="14">
        <f t="shared" si="1"/>
        <v>72</v>
      </c>
      <c r="B81" s="8"/>
      <c r="C81" s="15"/>
      <c r="D81" s="10"/>
      <c r="E81" s="32"/>
      <c r="F81" s="27"/>
      <c r="G81" s="13">
        <f t="shared" si="0"/>
        <v>297</v>
      </c>
      <c r="H81" s="7"/>
      <c r="I81" s="7"/>
    </row>
    <row r="82" spans="1:9" ht="18" customHeight="1" x14ac:dyDescent="0.25">
      <c r="A82" s="14">
        <f t="shared" si="1"/>
        <v>73</v>
      </c>
      <c r="B82" s="8"/>
      <c r="C82" s="15"/>
      <c r="D82" s="10"/>
      <c r="E82" s="32"/>
      <c r="F82" s="27"/>
      <c r="G82" s="13">
        <f t="shared" si="0"/>
        <v>297</v>
      </c>
      <c r="H82" s="28"/>
      <c r="I82" s="29"/>
    </row>
    <row r="83" spans="1:9" ht="18" customHeight="1" x14ac:dyDescent="0.25">
      <c r="A83" s="14">
        <f t="shared" si="1"/>
        <v>74</v>
      </c>
      <c r="B83" s="8"/>
      <c r="C83" s="15"/>
      <c r="D83" s="10"/>
      <c r="E83" s="32"/>
      <c r="F83" s="27"/>
      <c r="G83" s="13">
        <f t="shared" si="0"/>
        <v>297</v>
      </c>
      <c r="H83" s="28"/>
      <c r="I83" s="29"/>
    </row>
    <row r="84" spans="1:9" ht="15" customHeight="1" x14ac:dyDescent="0.25">
      <c r="A84" s="7"/>
      <c r="B84" s="7"/>
      <c r="C84" s="34" t="s">
        <v>13</v>
      </c>
      <c r="D84" s="7"/>
      <c r="E84" s="35">
        <f>SUM(E10:E83)</f>
        <v>857</v>
      </c>
      <c r="F84" s="35">
        <f>SUM(F10:F83)</f>
        <v>560</v>
      </c>
      <c r="G84" s="35">
        <f>+G9-F84+E84</f>
        <v>297</v>
      </c>
      <c r="H84" s="35"/>
      <c r="I84" s="36"/>
    </row>
    <row r="85" spans="1:9" ht="15" customHeight="1" x14ac:dyDescent="0.25">
      <c r="E85" s="26"/>
      <c r="F85" s="26">
        <f>+F84+G84</f>
        <v>857</v>
      </c>
    </row>
    <row r="86" spans="1:9" ht="15" customHeight="1" x14ac:dyDescent="0.25">
      <c r="F86" s="26">
        <f>+F85-3893</f>
        <v>-3036</v>
      </c>
    </row>
    <row r="87" spans="1:9" ht="15" customHeight="1" x14ac:dyDescent="0.25">
      <c r="H87">
        <f>7194+1000</f>
        <v>8194</v>
      </c>
    </row>
    <row r="88" spans="1:9" ht="15" customHeight="1" x14ac:dyDescent="0.25"/>
    <row r="89" spans="1:9" ht="15" customHeight="1" x14ac:dyDescent="0.25"/>
    <row r="90" spans="1:9" ht="15" customHeight="1" x14ac:dyDescent="0.25"/>
    <row r="91" spans="1:9" ht="15" customHeight="1" x14ac:dyDescent="0.25">
      <c r="F91">
        <f>360+104+10</f>
        <v>474</v>
      </c>
    </row>
    <row r="92" spans="1:9" ht="15" customHeight="1" x14ac:dyDescent="0.25"/>
    <row r="93" spans="1:9" ht="15" customHeight="1" x14ac:dyDescent="0.25"/>
    <row r="94" spans="1:9" ht="15" customHeight="1" x14ac:dyDescent="0.25"/>
    <row r="95" spans="1:9" ht="15" customHeight="1" x14ac:dyDescent="0.25"/>
    <row r="96" spans="1:9" ht="15" customHeight="1" x14ac:dyDescent="0.25"/>
    <row r="97" spans="6:6" ht="15" customHeight="1" x14ac:dyDescent="0.25"/>
    <row r="98" spans="6:6" ht="15" customHeight="1" x14ac:dyDescent="0.25"/>
    <row r="99" spans="6:6" ht="15" customHeight="1" x14ac:dyDescent="0.25"/>
    <row r="100" spans="6:6" ht="15" customHeight="1" x14ac:dyDescent="0.25"/>
    <row r="101" spans="6:6" ht="15" customHeight="1" x14ac:dyDescent="0.25"/>
    <row r="102" spans="6:6" ht="15" customHeight="1" x14ac:dyDescent="0.25"/>
    <row r="103" spans="6:6" ht="15" customHeight="1" x14ac:dyDescent="0.25"/>
    <row r="104" spans="6:6" ht="15" customHeight="1" x14ac:dyDescent="0.25"/>
    <row r="105" spans="6:6" ht="15" customHeight="1" x14ac:dyDescent="0.25"/>
    <row r="106" spans="6:6" ht="15" customHeight="1" x14ac:dyDescent="0.25">
      <c r="F106">
        <f>33+300+300+150</f>
        <v>783</v>
      </c>
    </row>
    <row r="107" spans="6:6" ht="15" customHeight="1" x14ac:dyDescent="0.25">
      <c r="F107">
        <f>+F106-576</f>
        <v>207</v>
      </c>
    </row>
    <row r="108" spans="6:6" ht="15" customHeight="1" x14ac:dyDescent="0.25"/>
    <row r="109" spans="6:6" ht="15" customHeight="1" x14ac:dyDescent="0.25"/>
    <row r="110" spans="6:6" ht="15" customHeight="1" x14ac:dyDescent="0.25"/>
    <row r="111" spans="6:6" ht="15" customHeight="1" x14ac:dyDescent="0.25"/>
    <row r="112" spans="6:6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</sheetData>
  <autoFilter ref="A8:I87" xr:uid="{00000000-0001-0000-0200-000000000000}"/>
  <mergeCells count="1">
    <mergeCell ref="A4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J83"/>
  <sheetViews>
    <sheetView workbookViewId="0">
      <selection activeCell="C23" sqref="C23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6.140625" customWidth="1"/>
    <col min="9" max="9" width="12.28515625" customWidth="1"/>
    <col min="12" max="12" width="11.28515625" bestFit="1" customWidth="1"/>
    <col min="17" max="17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271" t="s">
        <v>2</v>
      </c>
      <c r="B4" s="271"/>
      <c r="C4" s="271"/>
      <c r="D4" s="271"/>
      <c r="E4" s="271"/>
      <c r="F4" s="271"/>
      <c r="G4" s="271"/>
      <c r="H4" s="271"/>
      <c r="I4" s="271"/>
    </row>
    <row r="5" spans="1:10" x14ac:dyDescent="0.25">
      <c r="A5" s="271"/>
      <c r="B5" s="271"/>
      <c r="C5" s="271"/>
      <c r="D5" s="271"/>
      <c r="E5" s="271"/>
      <c r="F5" s="271"/>
      <c r="G5" s="271"/>
      <c r="H5" s="271"/>
      <c r="I5" s="271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31</v>
      </c>
      <c r="D8" s="4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/>
      <c r="C9" s="9" t="s">
        <v>11</v>
      </c>
      <c r="D9" s="10"/>
      <c r="E9" s="11"/>
      <c r="F9" s="12"/>
      <c r="G9" s="13"/>
      <c r="H9" s="7"/>
      <c r="I9" s="7"/>
    </row>
    <row r="10" spans="1:10" ht="18" customHeight="1" x14ac:dyDescent="0.25">
      <c r="A10" s="14">
        <v>1</v>
      </c>
      <c r="B10" s="8">
        <v>45705</v>
      </c>
      <c r="C10" s="15" t="s">
        <v>44</v>
      </c>
      <c r="D10" s="10" t="s">
        <v>12</v>
      </c>
      <c r="E10" s="16">
        <v>600</v>
      </c>
      <c r="F10" s="27"/>
      <c r="G10" s="18">
        <f t="shared" ref="G10:G41" si="0">+G9+E10-F10</f>
        <v>600</v>
      </c>
      <c r="H10" s="18"/>
      <c r="I10" s="7"/>
    </row>
    <row r="11" spans="1:10" ht="18" customHeight="1" x14ac:dyDescent="0.25">
      <c r="A11" s="14">
        <f t="shared" ref="A11:A41" si="1">+A10+1</f>
        <v>2</v>
      </c>
      <c r="B11" s="8">
        <v>45710</v>
      </c>
      <c r="C11" s="15" t="s">
        <v>44</v>
      </c>
      <c r="D11" s="10" t="s">
        <v>12</v>
      </c>
      <c r="E11" s="16"/>
      <c r="F11" s="27">
        <v>311</v>
      </c>
      <c r="G11" s="18">
        <f t="shared" si="0"/>
        <v>289</v>
      </c>
      <c r="H11" s="28"/>
      <c r="I11" s="29"/>
    </row>
    <row r="12" spans="1:10" ht="18" customHeight="1" x14ac:dyDescent="0.25">
      <c r="A12" s="14">
        <f t="shared" si="1"/>
        <v>3</v>
      </c>
      <c r="B12" s="8">
        <v>45712</v>
      </c>
      <c r="C12" s="15"/>
      <c r="D12" s="10" t="s">
        <v>12</v>
      </c>
      <c r="E12" s="16"/>
      <c r="F12" s="27">
        <v>63</v>
      </c>
      <c r="G12" s="18">
        <f t="shared" si="0"/>
        <v>226</v>
      </c>
      <c r="H12" s="28"/>
      <c r="I12" s="29"/>
    </row>
    <row r="13" spans="1:10" ht="18" customHeight="1" x14ac:dyDescent="0.25">
      <c r="A13" s="14">
        <f t="shared" si="1"/>
        <v>4</v>
      </c>
      <c r="B13" s="8">
        <v>45713</v>
      </c>
      <c r="C13" s="15"/>
      <c r="D13" s="10" t="s">
        <v>12</v>
      </c>
      <c r="E13" s="16"/>
      <c r="F13" s="27">
        <v>226</v>
      </c>
      <c r="G13" s="18">
        <f t="shared" si="0"/>
        <v>0</v>
      </c>
      <c r="H13" s="28"/>
      <c r="I13" s="29"/>
    </row>
    <row r="14" spans="1:10" ht="18" customHeight="1" x14ac:dyDescent="0.25">
      <c r="A14" s="14">
        <f t="shared" si="1"/>
        <v>5</v>
      </c>
      <c r="B14" s="8">
        <v>45769</v>
      </c>
      <c r="C14" s="15"/>
      <c r="D14" s="10" t="s">
        <v>12</v>
      </c>
      <c r="E14" s="16">
        <v>300</v>
      </c>
      <c r="F14" s="27"/>
      <c r="G14" s="18">
        <f t="shared" si="0"/>
        <v>300</v>
      </c>
      <c r="H14" s="28"/>
      <c r="I14" s="29"/>
    </row>
    <row r="15" spans="1:10" ht="18" customHeight="1" x14ac:dyDescent="0.25">
      <c r="A15" s="14">
        <f t="shared" si="1"/>
        <v>6</v>
      </c>
      <c r="B15" s="8">
        <v>45770</v>
      </c>
      <c r="C15" s="15"/>
      <c r="D15" s="10" t="s">
        <v>12</v>
      </c>
      <c r="E15" s="16"/>
      <c r="F15" s="27">
        <v>55</v>
      </c>
      <c r="G15" s="18">
        <f t="shared" si="0"/>
        <v>245</v>
      </c>
      <c r="H15" s="28"/>
      <c r="I15" s="29"/>
    </row>
    <row r="16" spans="1:10" ht="18" customHeight="1" x14ac:dyDescent="0.25">
      <c r="A16" s="14">
        <f t="shared" si="1"/>
        <v>7</v>
      </c>
      <c r="B16" s="8">
        <v>45793</v>
      </c>
      <c r="C16" s="15"/>
      <c r="D16" s="10" t="s">
        <v>12</v>
      </c>
      <c r="E16" s="16">
        <v>400</v>
      </c>
      <c r="F16" s="27"/>
      <c r="G16" s="18">
        <f t="shared" si="0"/>
        <v>645</v>
      </c>
      <c r="H16" s="28"/>
      <c r="I16" s="29"/>
      <c r="J16" s="26"/>
    </row>
    <row r="17" spans="1:9" ht="18" customHeight="1" x14ac:dyDescent="0.25">
      <c r="A17" s="14">
        <f t="shared" si="1"/>
        <v>8</v>
      </c>
      <c r="B17" s="8">
        <v>45815</v>
      </c>
      <c r="C17" s="15"/>
      <c r="D17" s="10" t="s">
        <v>12</v>
      </c>
      <c r="E17" s="16"/>
      <c r="F17" s="27">
        <v>197</v>
      </c>
      <c r="G17" s="18">
        <f t="shared" si="0"/>
        <v>448</v>
      </c>
      <c r="H17" s="28"/>
      <c r="I17" s="38"/>
    </row>
    <row r="18" spans="1:9" ht="18" customHeight="1" x14ac:dyDescent="0.25">
      <c r="A18" s="14">
        <f t="shared" si="1"/>
        <v>9</v>
      </c>
      <c r="B18" s="8">
        <v>45817</v>
      </c>
      <c r="C18" s="15"/>
      <c r="D18" s="10" t="s">
        <v>12</v>
      </c>
      <c r="E18" s="16"/>
      <c r="F18" s="27">
        <v>39</v>
      </c>
      <c r="G18" s="18">
        <f t="shared" si="0"/>
        <v>409</v>
      </c>
      <c r="H18" s="28"/>
      <c r="I18" s="29"/>
    </row>
    <row r="19" spans="1:9" ht="18" customHeight="1" x14ac:dyDescent="0.25">
      <c r="A19" s="14">
        <f t="shared" si="1"/>
        <v>10</v>
      </c>
      <c r="B19" s="8">
        <v>45828</v>
      </c>
      <c r="C19" s="15"/>
      <c r="D19" s="10" t="s">
        <v>12</v>
      </c>
      <c r="E19" s="16"/>
      <c r="F19" s="27">
        <v>17</v>
      </c>
      <c r="G19" s="18">
        <f t="shared" si="0"/>
        <v>392</v>
      </c>
      <c r="H19" s="28"/>
      <c r="I19" s="29"/>
    </row>
    <row r="20" spans="1:9" ht="18" customHeight="1" x14ac:dyDescent="0.25">
      <c r="A20" s="14">
        <f t="shared" si="1"/>
        <v>11</v>
      </c>
      <c r="B20" s="8">
        <v>45834</v>
      </c>
      <c r="C20" s="15" t="s">
        <v>123</v>
      </c>
      <c r="D20" s="10" t="s">
        <v>12</v>
      </c>
      <c r="E20" s="30"/>
      <c r="F20" s="27">
        <v>410</v>
      </c>
      <c r="G20" s="18">
        <f t="shared" si="0"/>
        <v>-18</v>
      </c>
      <c r="H20" s="28"/>
      <c r="I20" s="29"/>
    </row>
    <row r="21" spans="1:9" ht="18" customHeight="1" x14ac:dyDescent="0.25">
      <c r="A21" s="14">
        <f t="shared" si="1"/>
        <v>12</v>
      </c>
      <c r="B21" s="8"/>
      <c r="C21" s="15"/>
      <c r="D21" s="10" t="s">
        <v>12</v>
      </c>
      <c r="E21" s="16"/>
      <c r="F21" s="27"/>
      <c r="G21" s="18">
        <f t="shared" si="0"/>
        <v>-18</v>
      </c>
      <c r="H21" s="28"/>
      <c r="I21" s="29"/>
    </row>
    <row r="22" spans="1:9" ht="18" customHeight="1" x14ac:dyDescent="0.25">
      <c r="A22" s="14">
        <f t="shared" si="1"/>
        <v>13</v>
      </c>
      <c r="B22" s="8"/>
      <c r="C22" s="15"/>
      <c r="D22" s="10" t="s">
        <v>12</v>
      </c>
      <c r="E22" s="16"/>
      <c r="F22" s="27"/>
      <c r="G22" s="18">
        <f t="shared" si="0"/>
        <v>-18</v>
      </c>
      <c r="H22" s="28"/>
      <c r="I22" s="29"/>
    </row>
    <row r="23" spans="1:9" ht="18" customHeight="1" x14ac:dyDescent="0.25">
      <c r="A23" s="14">
        <f t="shared" si="1"/>
        <v>14</v>
      </c>
      <c r="B23" s="8"/>
      <c r="C23" s="15"/>
      <c r="D23" s="10" t="s">
        <v>12</v>
      </c>
      <c r="E23" s="16"/>
      <c r="F23" s="27"/>
      <c r="G23" s="18">
        <f t="shared" si="0"/>
        <v>-18</v>
      </c>
      <c r="H23" s="28"/>
      <c r="I23" s="29"/>
    </row>
    <row r="24" spans="1:9" ht="18" customHeight="1" x14ac:dyDescent="0.25">
      <c r="A24" s="14">
        <f t="shared" si="1"/>
        <v>15</v>
      </c>
      <c r="B24" s="8"/>
      <c r="C24" s="15"/>
      <c r="D24" s="10" t="s">
        <v>12</v>
      </c>
      <c r="E24" s="32"/>
      <c r="F24" s="27"/>
      <c r="G24" s="18">
        <f t="shared" si="0"/>
        <v>-18</v>
      </c>
      <c r="H24" s="28"/>
      <c r="I24" s="29"/>
    </row>
    <row r="25" spans="1:9" ht="18" customHeight="1" x14ac:dyDescent="0.25">
      <c r="A25" s="14">
        <f t="shared" si="1"/>
        <v>16</v>
      </c>
      <c r="B25" s="8"/>
      <c r="C25" s="15"/>
      <c r="D25" s="10" t="s">
        <v>12</v>
      </c>
      <c r="E25" s="32"/>
      <c r="F25" s="27"/>
      <c r="G25" s="18">
        <f t="shared" si="0"/>
        <v>-18</v>
      </c>
      <c r="H25" s="28"/>
      <c r="I25" s="29"/>
    </row>
    <row r="26" spans="1:9" ht="18" customHeight="1" x14ac:dyDescent="0.25">
      <c r="A26" s="14">
        <f t="shared" si="1"/>
        <v>17</v>
      </c>
      <c r="B26" s="8"/>
      <c r="C26" s="15"/>
      <c r="D26" s="10" t="s">
        <v>12</v>
      </c>
      <c r="E26" s="32"/>
      <c r="F26" s="27"/>
      <c r="G26" s="18">
        <f t="shared" si="0"/>
        <v>-18</v>
      </c>
      <c r="H26" s="28"/>
      <c r="I26" s="29"/>
    </row>
    <row r="27" spans="1:9" ht="18" customHeight="1" x14ac:dyDescent="0.25">
      <c r="A27" s="14">
        <f t="shared" si="1"/>
        <v>18</v>
      </c>
      <c r="B27" s="8"/>
      <c r="C27" s="15"/>
      <c r="D27" s="10" t="s">
        <v>12</v>
      </c>
      <c r="E27" s="32"/>
      <c r="F27" s="27"/>
      <c r="G27" s="18">
        <f t="shared" si="0"/>
        <v>-18</v>
      </c>
      <c r="H27" s="28"/>
      <c r="I27" s="29"/>
    </row>
    <row r="28" spans="1:9" ht="18" customHeight="1" x14ac:dyDescent="0.25">
      <c r="A28" s="14">
        <f t="shared" si="1"/>
        <v>19</v>
      </c>
      <c r="B28" s="8"/>
      <c r="C28" s="15"/>
      <c r="D28" s="10" t="s">
        <v>12</v>
      </c>
      <c r="E28" s="32"/>
      <c r="F28" s="27"/>
      <c r="G28" s="18">
        <f t="shared" si="0"/>
        <v>-18</v>
      </c>
      <c r="H28" s="28"/>
      <c r="I28" s="29"/>
    </row>
    <row r="29" spans="1:9" ht="18" customHeight="1" x14ac:dyDescent="0.25">
      <c r="A29" s="14">
        <f t="shared" si="1"/>
        <v>20</v>
      </c>
      <c r="B29" s="8"/>
      <c r="C29" s="15"/>
      <c r="D29" s="10" t="s">
        <v>12</v>
      </c>
      <c r="E29" s="32"/>
      <c r="F29" s="27"/>
      <c r="G29" s="18">
        <f t="shared" si="0"/>
        <v>-18</v>
      </c>
      <c r="H29" s="28"/>
      <c r="I29" s="29"/>
    </row>
    <row r="30" spans="1:9" ht="18" customHeight="1" x14ac:dyDescent="0.25">
      <c r="A30" s="14">
        <f t="shared" si="1"/>
        <v>21</v>
      </c>
      <c r="B30" s="8"/>
      <c r="C30" s="15"/>
      <c r="D30" s="10" t="s">
        <v>12</v>
      </c>
      <c r="E30" s="32"/>
      <c r="F30" s="27"/>
      <c r="G30" s="18">
        <f>+G29+E30-F30</f>
        <v>-18</v>
      </c>
      <c r="H30" s="28"/>
      <c r="I30" s="29"/>
    </row>
    <row r="31" spans="1:9" ht="18" customHeight="1" x14ac:dyDescent="0.25">
      <c r="A31" s="14">
        <f t="shared" si="1"/>
        <v>22</v>
      </c>
      <c r="B31" s="8"/>
      <c r="C31" s="15"/>
      <c r="D31" s="10" t="s">
        <v>12</v>
      </c>
      <c r="E31" s="32"/>
      <c r="F31" s="27"/>
      <c r="G31" s="18">
        <f>+G30+E31-F31</f>
        <v>-18</v>
      </c>
      <c r="H31" s="28"/>
      <c r="I31" s="29"/>
    </row>
    <row r="32" spans="1:9" ht="18" customHeight="1" x14ac:dyDescent="0.25">
      <c r="A32" s="14">
        <f t="shared" si="1"/>
        <v>23</v>
      </c>
      <c r="B32" s="8"/>
      <c r="C32" s="15"/>
      <c r="D32" s="10" t="s">
        <v>12</v>
      </c>
      <c r="E32" s="32"/>
      <c r="F32" s="27"/>
      <c r="G32" s="18">
        <f>+G31+E32-F32</f>
        <v>-18</v>
      </c>
      <c r="H32" s="28"/>
      <c r="I32" s="29"/>
    </row>
    <row r="33" spans="1:9" ht="18" customHeight="1" x14ac:dyDescent="0.25">
      <c r="A33" s="14">
        <f t="shared" si="1"/>
        <v>24</v>
      </c>
      <c r="B33" s="8"/>
      <c r="C33" s="15"/>
      <c r="D33" s="10" t="s">
        <v>12</v>
      </c>
      <c r="E33" s="32"/>
      <c r="F33" s="27"/>
      <c r="G33" s="18">
        <f>+G32+E33-F33</f>
        <v>-18</v>
      </c>
      <c r="H33" s="28"/>
      <c r="I33" s="29"/>
    </row>
    <row r="34" spans="1:9" ht="18" customHeight="1" x14ac:dyDescent="0.25">
      <c r="A34" s="14">
        <f t="shared" si="1"/>
        <v>25</v>
      </c>
      <c r="B34" s="8"/>
      <c r="C34" s="15"/>
      <c r="D34" s="10" t="s">
        <v>12</v>
      </c>
      <c r="E34" s="32"/>
      <c r="F34" s="27"/>
      <c r="G34" s="18">
        <f t="shared" ref="G34:G40" si="2">+G33+E34-F34</f>
        <v>-18</v>
      </c>
      <c r="H34" s="28"/>
      <c r="I34" s="29"/>
    </row>
    <row r="35" spans="1:9" ht="18" customHeight="1" x14ac:dyDescent="0.25">
      <c r="A35" s="14">
        <f t="shared" si="1"/>
        <v>26</v>
      </c>
      <c r="B35" s="8"/>
      <c r="C35" s="15"/>
      <c r="D35" s="10" t="s">
        <v>12</v>
      </c>
      <c r="E35" s="32"/>
      <c r="F35" s="27"/>
      <c r="G35" s="18">
        <f t="shared" si="2"/>
        <v>-18</v>
      </c>
      <c r="H35" s="28"/>
      <c r="I35" s="29"/>
    </row>
    <row r="36" spans="1:9" ht="18" customHeight="1" x14ac:dyDescent="0.25">
      <c r="A36" s="14">
        <f t="shared" si="1"/>
        <v>27</v>
      </c>
      <c r="B36" s="8"/>
      <c r="C36" s="15"/>
      <c r="D36" s="10" t="s">
        <v>12</v>
      </c>
      <c r="E36" s="32"/>
      <c r="F36" s="27"/>
      <c r="G36" s="18">
        <f t="shared" si="2"/>
        <v>-18</v>
      </c>
      <c r="H36" s="28"/>
      <c r="I36" s="29"/>
    </row>
    <row r="37" spans="1:9" ht="18" customHeight="1" x14ac:dyDescent="0.25">
      <c r="A37" s="14">
        <f t="shared" si="1"/>
        <v>28</v>
      </c>
      <c r="B37" s="8"/>
      <c r="C37" s="15"/>
      <c r="D37" s="10" t="s">
        <v>12</v>
      </c>
      <c r="E37" s="32"/>
      <c r="F37" s="27"/>
      <c r="G37" s="18">
        <f t="shared" si="2"/>
        <v>-18</v>
      </c>
      <c r="H37" s="28"/>
      <c r="I37" s="29"/>
    </row>
    <row r="38" spans="1:9" ht="18" customHeight="1" x14ac:dyDescent="0.25">
      <c r="A38" s="14">
        <f t="shared" si="1"/>
        <v>29</v>
      </c>
      <c r="B38" s="8"/>
      <c r="C38" s="15"/>
      <c r="D38" s="10" t="s">
        <v>12</v>
      </c>
      <c r="E38" s="32"/>
      <c r="F38" s="27"/>
      <c r="G38" s="18">
        <f t="shared" si="2"/>
        <v>-18</v>
      </c>
      <c r="H38" s="28"/>
      <c r="I38" s="29"/>
    </row>
    <row r="39" spans="1:9" ht="18" customHeight="1" x14ac:dyDescent="0.25">
      <c r="A39" s="14">
        <f t="shared" si="1"/>
        <v>30</v>
      </c>
      <c r="B39" s="8"/>
      <c r="C39" s="15"/>
      <c r="D39" s="10" t="s">
        <v>12</v>
      </c>
      <c r="E39" s="32"/>
      <c r="F39" s="27"/>
      <c r="G39" s="18">
        <f t="shared" si="2"/>
        <v>-18</v>
      </c>
      <c r="H39" s="28"/>
      <c r="I39" s="29"/>
    </row>
    <row r="40" spans="1:9" ht="18" customHeight="1" x14ac:dyDescent="0.25">
      <c r="A40" s="14">
        <f t="shared" si="1"/>
        <v>31</v>
      </c>
      <c r="B40" s="8"/>
      <c r="C40" s="15"/>
      <c r="D40" s="10" t="s">
        <v>12</v>
      </c>
      <c r="E40" s="32"/>
      <c r="F40" s="27"/>
      <c r="G40" s="18">
        <f t="shared" si="2"/>
        <v>-18</v>
      </c>
      <c r="H40" s="28"/>
      <c r="I40" s="29"/>
    </row>
    <row r="41" spans="1:9" ht="18" customHeight="1" x14ac:dyDescent="0.25">
      <c r="A41" s="14">
        <f t="shared" si="1"/>
        <v>32</v>
      </c>
      <c r="B41" s="8"/>
      <c r="C41" s="15"/>
      <c r="D41" s="10" t="s">
        <v>12</v>
      </c>
      <c r="E41" s="32"/>
      <c r="F41" s="27"/>
      <c r="G41" s="18">
        <f t="shared" si="0"/>
        <v>-18</v>
      </c>
      <c r="H41" s="28"/>
      <c r="I41" s="29"/>
    </row>
    <row r="42" spans="1:9" ht="15" customHeight="1" x14ac:dyDescent="0.25">
      <c r="A42" s="7"/>
      <c r="B42" s="33"/>
      <c r="C42" s="34" t="s">
        <v>13</v>
      </c>
      <c r="D42" s="7"/>
      <c r="E42" s="35">
        <f>SUM(E10:E41)</f>
        <v>1300</v>
      </c>
      <c r="F42" s="35">
        <f>SUM(F10:F41)</f>
        <v>1318</v>
      </c>
      <c r="G42" s="35">
        <f>+E42-F42+G9</f>
        <v>-18</v>
      </c>
      <c r="H42" s="35"/>
      <c r="I42" s="36"/>
    </row>
    <row r="43" spans="1:9" ht="15" customHeight="1" x14ac:dyDescent="0.25">
      <c r="E43" s="26"/>
      <c r="F43" s="26"/>
    </row>
    <row r="44" spans="1:9" ht="15" customHeight="1" x14ac:dyDescent="0.25"/>
    <row r="45" spans="1:9" ht="15" customHeight="1" x14ac:dyDescent="0.25"/>
    <row r="46" spans="1:9" ht="15" customHeight="1" x14ac:dyDescent="0.25"/>
    <row r="47" spans="1:9" ht="15" customHeight="1" x14ac:dyDescent="0.25"/>
    <row r="48" spans="1:9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</sheetData>
  <autoFilter ref="A8:I8" xr:uid="{00000000-0001-0000-0300-000000000000}"/>
  <mergeCells count="1">
    <mergeCell ref="A4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J67"/>
  <sheetViews>
    <sheetView workbookViewId="0">
      <selection activeCell="F13" sqref="F13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5703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7.57031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7.57031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7.57031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7.57031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7.57031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7.57031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7.57031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7.57031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7.57031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7.57031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7.57031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7.57031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7.57031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7.57031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7.57031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7.57031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7.57031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7.57031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7.57031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7.57031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7.57031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7.57031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7.57031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7.57031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7.57031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7.57031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7.57031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7.57031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7.57031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7.57031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7.57031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7.57031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7.57031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7.57031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7.57031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7.57031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7.57031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7.57031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7.57031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7.57031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7.57031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7.57031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7.57031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7.57031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7.57031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7.57031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7.57031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7.57031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7.57031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7.57031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7.57031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7.57031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7.57031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7.57031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7.57031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7.57031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7.57031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7.57031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7.57031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7.57031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7.57031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7.57031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7.57031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271" t="str">
        <f>+'[1]Hộp CB'!A4:I5</f>
        <v>THẺ KHO NGUYÊN VẬT LIỆU</v>
      </c>
      <c r="B4" s="271"/>
      <c r="C4" s="271"/>
      <c r="D4" s="271"/>
      <c r="E4" s="271"/>
      <c r="F4" s="271"/>
      <c r="G4" s="271"/>
      <c r="H4" s="271"/>
      <c r="I4" s="271"/>
    </row>
    <row r="5" spans="1:10" x14ac:dyDescent="0.25">
      <c r="A5" s="271"/>
      <c r="B5" s="271"/>
      <c r="C5" s="271"/>
      <c r="D5" s="271"/>
      <c r="E5" s="271"/>
      <c r="F5" s="271"/>
      <c r="G5" s="271"/>
      <c r="H5" s="271"/>
      <c r="I5" s="271"/>
    </row>
    <row r="7" spans="1:10" ht="27.75" customHeight="1" x14ac:dyDescent="0.25">
      <c r="A7" s="4" t="s">
        <v>3</v>
      </c>
      <c r="B7" s="4" t="s">
        <v>4</v>
      </c>
      <c r="C7" s="4" t="s">
        <v>31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8" customHeight="1" x14ac:dyDescent="0.25">
      <c r="A8" s="7"/>
      <c r="B8" s="8"/>
      <c r="C8" s="9" t="s">
        <v>14</v>
      </c>
      <c r="D8" s="10"/>
      <c r="E8" s="11"/>
      <c r="F8" s="12"/>
      <c r="G8" s="152"/>
      <c r="H8" s="7"/>
      <c r="I8" s="7"/>
    </row>
    <row r="9" spans="1:10" ht="18" customHeight="1" x14ac:dyDescent="0.25">
      <c r="A9" s="14">
        <v>1</v>
      </c>
      <c r="B9" s="39">
        <v>45705</v>
      </c>
      <c r="C9" s="15" t="s">
        <v>45</v>
      </c>
      <c r="D9" s="10" t="s">
        <v>20</v>
      </c>
      <c r="E9" s="16">
        <v>300</v>
      </c>
      <c r="F9" s="27"/>
      <c r="G9" s="18">
        <f t="shared" ref="G9:G60" si="0">+G8+E9-F9</f>
        <v>300</v>
      </c>
      <c r="H9" s="18" t="s">
        <v>26</v>
      </c>
      <c r="I9" s="7" t="s">
        <v>33</v>
      </c>
    </row>
    <row r="10" spans="1:10" ht="18" customHeight="1" x14ac:dyDescent="0.25">
      <c r="A10" s="14">
        <f t="shared" ref="A10:A60" si="1">+A9+1</f>
        <v>2</v>
      </c>
      <c r="B10" s="39">
        <v>45714</v>
      </c>
      <c r="C10" s="15"/>
      <c r="D10" s="10" t="s">
        <v>20</v>
      </c>
      <c r="E10" s="16"/>
      <c r="F10" s="40">
        <v>160</v>
      </c>
      <c r="G10" s="18">
        <f t="shared" si="0"/>
        <v>140</v>
      </c>
      <c r="H10" s="18" t="s">
        <v>26</v>
      </c>
      <c r="I10" s="7" t="s">
        <v>33</v>
      </c>
    </row>
    <row r="11" spans="1:10" ht="18" customHeight="1" x14ac:dyDescent="0.25">
      <c r="A11" s="14">
        <f t="shared" si="1"/>
        <v>3</v>
      </c>
      <c r="B11" s="39">
        <v>45715</v>
      </c>
      <c r="C11" s="15"/>
      <c r="D11" s="10" t="s">
        <v>20</v>
      </c>
      <c r="E11" s="16"/>
      <c r="F11" s="40">
        <v>140</v>
      </c>
      <c r="G11" s="18">
        <f t="shared" si="0"/>
        <v>0</v>
      </c>
      <c r="H11" s="18" t="s">
        <v>26</v>
      </c>
      <c r="I11" s="7" t="s">
        <v>33</v>
      </c>
    </row>
    <row r="12" spans="1:10" ht="18" customHeight="1" x14ac:dyDescent="0.25">
      <c r="A12" s="14">
        <f t="shared" si="1"/>
        <v>4</v>
      </c>
      <c r="B12" s="39">
        <v>45771</v>
      </c>
      <c r="C12" s="15"/>
      <c r="D12" s="10" t="s">
        <v>20</v>
      </c>
      <c r="E12" s="16">
        <v>200</v>
      </c>
      <c r="F12" s="40"/>
      <c r="G12" s="18">
        <f t="shared" si="0"/>
        <v>200</v>
      </c>
      <c r="H12" s="18" t="s">
        <v>26</v>
      </c>
      <c r="I12" s="7" t="s">
        <v>33</v>
      </c>
    </row>
    <row r="13" spans="1:10" ht="18" customHeight="1" x14ac:dyDescent="0.25">
      <c r="A13" s="14">
        <f t="shared" si="1"/>
        <v>5</v>
      </c>
      <c r="B13" s="39">
        <v>45828</v>
      </c>
      <c r="C13" s="15"/>
      <c r="D13" s="10" t="s">
        <v>20</v>
      </c>
      <c r="E13" s="16"/>
      <c r="F13" s="40">
        <v>116</v>
      </c>
      <c r="G13" s="18">
        <f t="shared" si="0"/>
        <v>84</v>
      </c>
      <c r="H13" s="18"/>
      <c r="I13" s="7"/>
    </row>
    <row r="14" spans="1:10" ht="18" customHeight="1" x14ac:dyDescent="0.25">
      <c r="A14" s="14">
        <f t="shared" si="1"/>
        <v>6</v>
      </c>
      <c r="B14" s="41">
        <v>45835</v>
      </c>
      <c r="C14" s="15"/>
      <c r="D14" s="10" t="s">
        <v>20</v>
      </c>
      <c r="E14" s="16"/>
      <c r="F14" s="27">
        <v>124</v>
      </c>
      <c r="G14" s="18">
        <f t="shared" si="0"/>
        <v>-40</v>
      </c>
      <c r="H14" s="18" t="s">
        <v>26</v>
      </c>
      <c r="I14" s="7" t="s">
        <v>33</v>
      </c>
      <c r="J14" s="26"/>
    </row>
    <row r="15" spans="1:10" ht="18" customHeight="1" x14ac:dyDescent="0.25">
      <c r="A15" s="14">
        <f t="shared" si="1"/>
        <v>7</v>
      </c>
      <c r="B15" s="109"/>
      <c r="C15" s="15"/>
      <c r="D15" s="10" t="s">
        <v>20</v>
      </c>
      <c r="E15" s="16"/>
      <c r="F15" s="27"/>
      <c r="G15" s="18">
        <f t="shared" si="0"/>
        <v>-40</v>
      </c>
      <c r="H15" s="18" t="s">
        <v>26</v>
      </c>
      <c r="I15" s="7" t="s">
        <v>33</v>
      </c>
      <c r="J15" s="26"/>
    </row>
    <row r="16" spans="1:10" ht="18" customHeight="1" x14ac:dyDescent="0.25">
      <c r="A16" s="14">
        <f t="shared" si="1"/>
        <v>8</v>
      </c>
      <c r="B16" s="109"/>
      <c r="C16" s="15"/>
      <c r="D16" s="10" t="s">
        <v>20</v>
      </c>
      <c r="E16" s="16"/>
      <c r="F16" s="27"/>
      <c r="G16" s="18">
        <f t="shared" si="0"/>
        <v>-40</v>
      </c>
      <c r="H16" s="18" t="s">
        <v>26</v>
      </c>
      <c r="I16" s="7" t="s">
        <v>33</v>
      </c>
      <c r="J16" s="26"/>
    </row>
    <row r="17" spans="1:9" ht="18" customHeight="1" x14ac:dyDescent="0.25">
      <c r="A17" s="14">
        <f t="shared" si="1"/>
        <v>9</v>
      </c>
      <c r="B17" s="43"/>
      <c r="C17" s="15"/>
      <c r="D17" s="10" t="s">
        <v>20</v>
      </c>
      <c r="E17" s="16"/>
      <c r="F17" s="17"/>
      <c r="G17" s="18">
        <f t="shared" si="0"/>
        <v>-40</v>
      </c>
      <c r="H17" s="18" t="s">
        <v>26</v>
      </c>
      <c r="I17" s="7" t="s">
        <v>33</v>
      </c>
    </row>
    <row r="18" spans="1:9" ht="18" customHeight="1" x14ac:dyDescent="0.25">
      <c r="A18" s="14">
        <f t="shared" si="1"/>
        <v>10</v>
      </c>
      <c r="B18" s="42"/>
      <c r="C18" s="15"/>
      <c r="D18" s="10" t="s">
        <v>20</v>
      </c>
      <c r="E18" s="16"/>
      <c r="F18" s="17"/>
      <c r="G18" s="18">
        <f t="shared" si="0"/>
        <v>-40</v>
      </c>
      <c r="H18" s="18"/>
      <c r="I18" s="7"/>
    </row>
    <row r="19" spans="1:9" ht="18" customHeight="1" x14ac:dyDescent="0.25">
      <c r="A19" s="14">
        <f t="shared" si="1"/>
        <v>11</v>
      </c>
      <c r="B19" s="43"/>
      <c r="C19" s="15"/>
      <c r="D19" s="10" t="s">
        <v>20</v>
      </c>
      <c r="E19" s="16"/>
      <c r="F19" s="17"/>
      <c r="G19" s="18">
        <f t="shared" si="0"/>
        <v>-40</v>
      </c>
      <c r="H19" s="18"/>
      <c r="I19" s="7"/>
    </row>
    <row r="20" spans="1:9" ht="18" customHeight="1" x14ac:dyDescent="0.25">
      <c r="A20" s="14">
        <f t="shared" si="1"/>
        <v>12</v>
      </c>
      <c r="B20" s="39"/>
      <c r="C20" s="15"/>
      <c r="D20" s="10" t="s">
        <v>20</v>
      </c>
      <c r="E20" s="16"/>
      <c r="F20" s="17"/>
      <c r="G20" s="18">
        <f t="shared" si="0"/>
        <v>-40</v>
      </c>
      <c r="H20" s="18"/>
      <c r="I20" s="7"/>
    </row>
    <row r="21" spans="1:9" ht="18" customHeight="1" x14ac:dyDescent="0.25">
      <c r="A21" s="14">
        <f t="shared" si="1"/>
        <v>13</v>
      </c>
      <c r="B21" s="39"/>
      <c r="C21" s="15"/>
      <c r="D21" s="10" t="s">
        <v>20</v>
      </c>
      <c r="E21" s="16"/>
      <c r="F21" s="27"/>
      <c r="G21" s="18">
        <f t="shared" si="0"/>
        <v>-40</v>
      </c>
      <c r="H21" s="18"/>
      <c r="I21" s="7"/>
    </row>
    <row r="22" spans="1:9" ht="18" customHeight="1" x14ac:dyDescent="0.25">
      <c r="A22" s="14">
        <f t="shared" si="1"/>
        <v>14</v>
      </c>
      <c r="B22" s="39"/>
      <c r="C22" s="15"/>
      <c r="D22" s="10" t="s">
        <v>20</v>
      </c>
      <c r="E22" s="32"/>
      <c r="F22" s="17"/>
      <c r="G22" s="18">
        <f t="shared" si="0"/>
        <v>-40</v>
      </c>
      <c r="H22" s="18"/>
      <c r="I22" s="7"/>
    </row>
    <row r="23" spans="1:9" ht="18" customHeight="1" x14ac:dyDescent="0.25">
      <c r="A23" s="14">
        <f t="shared" si="1"/>
        <v>15</v>
      </c>
      <c r="B23" s="39"/>
      <c r="C23" s="15"/>
      <c r="D23" s="10" t="s">
        <v>20</v>
      </c>
      <c r="E23" s="32"/>
      <c r="F23" s="17"/>
      <c r="G23" s="18">
        <f t="shared" si="0"/>
        <v>-40</v>
      </c>
      <c r="H23" s="18"/>
      <c r="I23" s="7"/>
    </row>
    <row r="24" spans="1:9" ht="18" customHeight="1" x14ac:dyDescent="0.25">
      <c r="A24" s="14">
        <f t="shared" si="1"/>
        <v>16</v>
      </c>
      <c r="B24" s="39"/>
      <c r="C24" s="15"/>
      <c r="D24" s="10" t="s">
        <v>20</v>
      </c>
      <c r="E24" s="32"/>
      <c r="F24" s="17"/>
      <c r="G24" s="18">
        <f t="shared" si="0"/>
        <v>-40</v>
      </c>
      <c r="H24" s="18"/>
      <c r="I24" s="7"/>
    </row>
    <row r="25" spans="1:9" ht="18" customHeight="1" x14ac:dyDescent="0.25">
      <c r="A25" s="14">
        <f t="shared" si="1"/>
        <v>17</v>
      </c>
      <c r="B25" s="39"/>
      <c r="C25" s="15"/>
      <c r="D25" s="10" t="s">
        <v>20</v>
      </c>
      <c r="E25" s="32"/>
      <c r="F25" s="17"/>
      <c r="G25" s="18">
        <f t="shared" si="0"/>
        <v>-40</v>
      </c>
      <c r="H25" s="18"/>
      <c r="I25" s="7"/>
    </row>
    <row r="26" spans="1:9" ht="18" customHeight="1" x14ac:dyDescent="0.25">
      <c r="A26" s="14">
        <f t="shared" si="1"/>
        <v>18</v>
      </c>
      <c r="B26" s="39"/>
      <c r="C26" s="15"/>
      <c r="D26" s="10" t="s">
        <v>20</v>
      </c>
      <c r="E26" s="32"/>
      <c r="F26" s="17"/>
      <c r="G26" s="18">
        <f t="shared" si="0"/>
        <v>-40</v>
      </c>
      <c r="H26" s="18"/>
      <c r="I26" s="7"/>
    </row>
    <row r="27" spans="1:9" ht="18" customHeight="1" x14ac:dyDescent="0.25">
      <c r="A27" s="14">
        <f t="shared" si="1"/>
        <v>19</v>
      </c>
      <c r="B27" s="39"/>
      <c r="C27" s="15"/>
      <c r="D27" s="10" t="s">
        <v>20</v>
      </c>
      <c r="E27" s="32"/>
      <c r="F27" s="17"/>
      <c r="G27" s="18">
        <f t="shared" si="0"/>
        <v>-40</v>
      </c>
      <c r="H27" s="18"/>
      <c r="I27" s="7"/>
    </row>
    <row r="28" spans="1:9" ht="18" customHeight="1" x14ac:dyDescent="0.25">
      <c r="A28" s="14">
        <f t="shared" si="1"/>
        <v>20</v>
      </c>
      <c r="B28" s="43"/>
      <c r="C28" s="15"/>
      <c r="D28" s="10" t="s">
        <v>20</v>
      </c>
      <c r="E28" s="32"/>
      <c r="F28" s="17"/>
      <c r="G28" s="18">
        <f t="shared" si="0"/>
        <v>-40</v>
      </c>
      <c r="H28" s="18"/>
      <c r="I28" s="7"/>
    </row>
    <row r="29" spans="1:9" ht="18" customHeight="1" x14ac:dyDescent="0.25">
      <c r="A29" s="14">
        <f t="shared" si="1"/>
        <v>21</v>
      </c>
      <c r="B29" s="44"/>
      <c r="C29" s="15"/>
      <c r="D29" s="10" t="s">
        <v>20</v>
      </c>
      <c r="E29" s="32"/>
      <c r="F29" s="17"/>
      <c r="G29" s="18">
        <f t="shared" si="0"/>
        <v>-40</v>
      </c>
      <c r="H29" s="18"/>
      <c r="I29" s="7"/>
    </row>
    <row r="30" spans="1:9" ht="18" customHeight="1" x14ac:dyDescent="0.25">
      <c r="A30" s="14">
        <f t="shared" si="1"/>
        <v>22</v>
      </c>
      <c r="B30" s="44"/>
      <c r="C30" s="15"/>
      <c r="D30" s="10" t="s">
        <v>20</v>
      </c>
      <c r="E30" s="32"/>
      <c r="F30" s="17"/>
      <c r="G30" s="18">
        <f t="shared" si="0"/>
        <v>-40</v>
      </c>
      <c r="H30" s="18"/>
      <c r="I30" s="7"/>
    </row>
    <row r="31" spans="1:9" ht="18" customHeight="1" x14ac:dyDescent="0.25">
      <c r="A31" s="14">
        <f t="shared" si="1"/>
        <v>23</v>
      </c>
      <c r="B31" s="45"/>
      <c r="C31" s="15"/>
      <c r="D31" s="10" t="s">
        <v>20</v>
      </c>
      <c r="E31" s="32"/>
      <c r="F31" s="17"/>
      <c r="G31" s="18">
        <f t="shared" si="0"/>
        <v>-40</v>
      </c>
      <c r="H31" s="18"/>
      <c r="I31" s="7"/>
    </row>
    <row r="32" spans="1:9" ht="18" customHeight="1" x14ac:dyDescent="0.25">
      <c r="A32" s="14">
        <f t="shared" si="1"/>
        <v>24</v>
      </c>
      <c r="B32" s="45"/>
      <c r="C32" s="15"/>
      <c r="D32" s="10" t="s">
        <v>20</v>
      </c>
      <c r="E32" s="32"/>
      <c r="F32" s="27"/>
      <c r="G32" s="18">
        <f t="shared" si="0"/>
        <v>-40</v>
      </c>
      <c r="H32" s="18"/>
      <c r="I32" s="7"/>
    </row>
    <row r="33" spans="1:9" ht="18" customHeight="1" x14ac:dyDescent="0.25">
      <c r="A33" s="14">
        <f t="shared" si="1"/>
        <v>25</v>
      </c>
      <c r="B33" s="45"/>
      <c r="C33" s="15"/>
      <c r="D33" s="10" t="s">
        <v>20</v>
      </c>
      <c r="E33" s="32"/>
      <c r="F33" s="27"/>
      <c r="G33" s="18">
        <f t="shared" si="0"/>
        <v>-40</v>
      </c>
      <c r="H33" s="18"/>
      <c r="I33" s="7"/>
    </row>
    <row r="34" spans="1:9" ht="18" customHeight="1" x14ac:dyDescent="0.25">
      <c r="A34" s="14">
        <f t="shared" si="1"/>
        <v>26</v>
      </c>
      <c r="B34" s="45"/>
      <c r="C34" s="15"/>
      <c r="D34" s="10" t="s">
        <v>20</v>
      </c>
      <c r="E34" s="32"/>
      <c r="F34" s="27"/>
      <c r="G34" s="18">
        <f t="shared" si="0"/>
        <v>-40</v>
      </c>
      <c r="H34" s="18"/>
      <c r="I34" s="7"/>
    </row>
    <row r="35" spans="1:9" ht="18" customHeight="1" x14ac:dyDescent="0.25">
      <c r="A35" s="14">
        <f t="shared" si="1"/>
        <v>27</v>
      </c>
      <c r="B35" s="45"/>
      <c r="C35" s="15"/>
      <c r="D35" s="10" t="s">
        <v>20</v>
      </c>
      <c r="E35" s="32"/>
      <c r="F35" s="27"/>
      <c r="G35" s="18">
        <f t="shared" si="0"/>
        <v>-40</v>
      </c>
      <c r="H35" s="18"/>
      <c r="I35" s="7"/>
    </row>
    <row r="36" spans="1:9" ht="18" customHeight="1" x14ac:dyDescent="0.25">
      <c r="A36" s="14">
        <f t="shared" si="1"/>
        <v>28</v>
      </c>
      <c r="B36" s="45"/>
      <c r="C36" s="15"/>
      <c r="D36" s="10" t="s">
        <v>20</v>
      </c>
      <c r="E36" s="32"/>
      <c r="F36" s="27"/>
      <c r="G36" s="18">
        <f t="shared" si="0"/>
        <v>-40</v>
      </c>
      <c r="H36" s="18"/>
      <c r="I36" s="7"/>
    </row>
    <row r="37" spans="1:9" ht="18" customHeight="1" x14ac:dyDescent="0.25">
      <c r="A37" s="14">
        <f t="shared" si="1"/>
        <v>29</v>
      </c>
      <c r="B37" s="45"/>
      <c r="C37" s="15"/>
      <c r="D37" s="10" t="s">
        <v>20</v>
      </c>
      <c r="E37" s="32"/>
      <c r="F37" s="27"/>
      <c r="G37" s="18">
        <f t="shared" si="0"/>
        <v>-40</v>
      </c>
      <c r="H37" s="18"/>
      <c r="I37" s="7"/>
    </row>
    <row r="38" spans="1:9" ht="18" customHeight="1" x14ac:dyDescent="0.25">
      <c r="A38" s="14">
        <f t="shared" si="1"/>
        <v>30</v>
      </c>
      <c r="B38" s="45"/>
      <c r="C38" s="15"/>
      <c r="D38" s="10" t="s">
        <v>20</v>
      </c>
      <c r="E38" s="32"/>
      <c r="F38" s="27"/>
      <c r="G38" s="18">
        <f t="shared" si="0"/>
        <v>-40</v>
      </c>
      <c r="H38" s="18"/>
      <c r="I38" s="7"/>
    </row>
    <row r="39" spans="1:9" ht="18" customHeight="1" x14ac:dyDescent="0.25">
      <c r="A39" s="14">
        <f t="shared" si="1"/>
        <v>31</v>
      </c>
      <c r="B39" s="45"/>
      <c r="C39" s="15"/>
      <c r="D39" s="10" t="s">
        <v>20</v>
      </c>
      <c r="E39" s="32"/>
      <c r="F39" s="27"/>
      <c r="G39" s="18">
        <f t="shared" si="0"/>
        <v>-40</v>
      </c>
      <c r="H39" s="18"/>
      <c r="I39" s="7"/>
    </row>
    <row r="40" spans="1:9" ht="18" customHeight="1" x14ac:dyDescent="0.25">
      <c r="A40" s="14">
        <f t="shared" si="1"/>
        <v>32</v>
      </c>
      <c r="B40" s="45"/>
      <c r="C40" s="15"/>
      <c r="D40" s="10" t="s">
        <v>20</v>
      </c>
      <c r="E40" s="32"/>
      <c r="F40" s="27"/>
      <c r="G40" s="18">
        <f t="shared" si="0"/>
        <v>-40</v>
      </c>
      <c r="H40" s="18"/>
      <c r="I40" s="7"/>
    </row>
    <row r="41" spans="1:9" ht="18" customHeight="1" x14ac:dyDescent="0.25">
      <c r="A41" s="14">
        <f t="shared" si="1"/>
        <v>33</v>
      </c>
      <c r="B41" s="45"/>
      <c r="C41" s="15"/>
      <c r="D41" s="10" t="s">
        <v>20</v>
      </c>
      <c r="E41" s="32"/>
      <c r="F41" s="27"/>
      <c r="G41" s="18">
        <f t="shared" si="0"/>
        <v>-40</v>
      </c>
      <c r="H41" s="18"/>
      <c r="I41" s="7"/>
    </row>
    <row r="42" spans="1:9" ht="18" customHeight="1" x14ac:dyDescent="0.25">
      <c r="A42" s="14">
        <f t="shared" si="1"/>
        <v>34</v>
      </c>
      <c r="B42" s="8"/>
      <c r="C42" s="15"/>
      <c r="D42" s="10" t="s">
        <v>20</v>
      </c>
      <c r="E42" s="32"/>
      <c r="F42" s="27"/>
      <c r="G42" s="18">
        <f t="shared" si="0"/>
        <v>-40</v>
      </c>
      <c r="H42" s="18"/>
      <c r="I42" s="7"/>
    </row>
    <row r="43" spans="1:9" ht="18" customHeight="1" x14ac:dyDescent="0.25">
      <c r="A43" s="14">
        <f t="shared" si="1"/>
        <v>35</v>
      </c>
      <c r="B43" s="8"/>
      <c r="C43" s="15"/>
      <c r="D43" s="10" t="s">
        <v>20</v>
      </c>
      <c r="E43" s="32"/>
      <c r="F43" s="27"/>
      <c r="G43" s="18">
        <f t="shared" si="0"/>
        <v>-40</v>
      </c>
      <c r="H43" s="18"/>
      <c r="I43" s="7"/>
    </row>
    <row r="44" spans="1:9" ht="18" customHeight="1" x14ac:dyDescent="0.25">
      <c r="A44" s="14">
        <f t="shared" si="1"/>
        <v>36</v>
      </c>
      <c r="B44" s="8"/>
      <c r="C44" s="15"/>
      <c r="D44" s="10" t="s">
        <v>20</v>
      </c>
      <c r="E44" s="32"/>
      <c r="F44" s="27"/>
      <c r="G44" s="18">
        <f t="shared" si="0"/>
        <v>-40</v>
      </c>
      <c r="H44" s="18"/>
      <c r="I44" s="7"/>
    </row>
    <row r="45" spans="1:9" ht="18" customHeight="1" x14ac:dyDescent="0.25">
      <c r="A45" s="14">
        <f t="shared" si="1"/>
        <v>37</v>
      </c>
      <c r="B45" s="8"/>
      <c r="C45" s="15"/>
      <c r="D45" s="10" t="s">
        <v>20</v>
      </c>
      <c r="E45" s="32"/>
      <c r="F45" s="27"/>
      <c r="G45" s="18">
        <f>+G44+E45-F45</f>
        <v>-40</v>
      </c>
      <c r="H45" s="18"/>
      <c r="I45" s="7"/>
    </row>
    <row r="46" spans="1:9" ht="18" customHeight="1" x14ac:dyDescent="0.25">
      <c r="A46" s="14">
        <f t="shared" si="1"/>
        <v>38</v>
      </c>
      <c r="B46" s="8"/>
      <c r="C46" s="15"/>
      <c r="D46" s="10" t="s">
        <v>20</v>
      </c>
      <c r="E46" s="32"/>
      <c r="F46" s="27"/>
      <c r="G46" s="18">
        <f t="shared" si="0"/>
        <v>-40</v>
      </c>
      <c r="H46" s="18"/>
      <c r="I46" s="7"/>
    </row>
    <row r="47" spans="1:9" ht="18" customHeight="1" x14ac:dyDescent="0.25">
      <c r="A47" s="14">
        <f t="shared" si="1"/>
        <v>39</v>
      </c>
      <c r="B47" s="8"/>
      <c r="C47" s="15"/>
      <c r="D47" s="10" t="s">
        <v>20</v>
      </c>
      <c r="E47" s="32"/>
      <c r="F47" s="27"/>
      <c r="G47" s="18">
        <f t="shared" si="0"/>
        <v>-40</v>
      </c>
      <c r="H47" s="18"/>
      <c r="I47" s="7"/>
    </row>
    <row r="48" spans="1:9" ht="18" customHeight="1" x14ac:dyDescent="0.25">
      <c r="A48" s="14">
        <f t="shared" si="1"/>
        <v>40</v>
      </c>
      <c r="B48" s="8"/>
      <c r="C48" s="15"/>
      <c r="D48" s="10" t="s">
        <v>20</v>
      </c>
      <c r="E48" s="32"/>
      <c r="F48" s="27"/>
      <c r="G48" s="18">
        <f t="shared" si="0"/>
        <v>-40</v>
      </c>
      <c r="H48" s="18"/>
      <c r="I48" s="7"/>
    </row>
    <row r="49" spans="1:9" ht="18" customHeight="1" x14ac:dyDescent="0.25">
      <c r="A49" s="14">
        <f t="shared" si="1"/>
        <v>41</v>
      </c>
      <c r="B49" s="8"/>
      <c r="C49" s="15"/>
      <c r="D49" s="10" t="s">
        <v>20</v>
      </c>
      <c r="E49" s="32"/>
      <c r="F49" s="27"/>
      <c r="G49" s="18">
        <f t="shared" si="0"/>
        <v>-40</v>
      </c>
      <c r="H49" s="18"/>
      <c r="I49" s="7"/>
    </row>
    <row r="50" spans="1:9" ht="18" customHeight="1" x14ac:dyDescent="0.25">
      <c r="A50" s="14">
        <f t="shared" si="1"/>
        <v>42</v>
      </c>
      <c r="B50" s="8"/>
      <c r="C50" s="15"/>
      <c r="D50" s="10" t="s">
        <v>20</v>
      </c>
      <c r="E50" s="32"/>
      <c r="F50" s="27"/>
      <c r="G50" s="18">
        <f t="shared" si="0"/>
        <v>-40</v>
      </c>
      <c r="H50" s="18"/>
      <c r="I50" s="7"/>
    </row>
    <row r="51" spans="1:9" ht="18" customHeight="1" x14ac:dyDescent="0.25">
      <c r="A51" s="14">
        <f t="shared" si="1"/>
        <v>43</v>
      </c>
      <c r="B51" s="8"/>
      <c r="C51" s="15"/>
      <c r="D51" s="10" t="s">
        <v>20</v>
      </c>
      <c r="E51" s="32"/>
      <c r="F51" s="27"/>
      <c r="G51" s="18">
        <f t="shared" si="0"/>
        <v>-40</v>
      </c>
      <c r="H51" s="18"/>
      <c r="I51" s="7"/>
    </row>
    <row r="52" spans="1:9" ht="18" customHeight="1" x14ac:dyDescent="0.25">
      <c r="A52" s="14">
        <f t="shared" si="1"/>
        <v>44</v>
      </c>
      <c r="B52" s="8"/>
      <c r="C52" s="15"/>
      <c r="D52" s="10"/>
      <c r="E52" s="32"/>
      <c r="F52" s="27"/>
      <c r="G52" s="18">
        <f t="shared" si="0"/>
        <v>-40</v>
      </c>
      <c r="H52" s="18"/>
      <c r="I52" s="7"/>
    </row>
    <row r="53" spans="1:9" ht="18" customHeight="1" x14ac:dyDescent="0.25">
      <c r="A53" s="14">
        <f t="shared" si="1"/>
        <v>45</v>
      </c>
      <c r="B53" s="8"/>
      <c r="C53" s="15"/>
      <c r="D53" s="10"/>
      <c r="E53" s="32"/>
      <c r="F53" s="27"/>
      <c r="G53" s="18">
        <f t="shared" si="0"/>
        <v>-40</v>
      </c>
      <c r="H53" s="18"/>
      <c r="I53" s="7"/>
    </row>
    <row r="54" spans="1:9" ht="18" customHeight="1" x14ac:dyDescent="0.25">
      <c r="A54" s="14">
        <f t="shared" si="1"/>
        <v>46</v>
      </c>
      <c r="B54" s="8"/>
      <c r="C54" s="15"/>
      <c r="D54" s="10"/>
      <c r="E54" s="32"/>
      <c r="F54" s="27"/>
      <c r="G54" s="18">
        <f t="shared" si="0"/>
        <v>-40</v>
      </c>
      <c r="H54" s="18"/>
      <c r="I54" s="7"/>
    </row>
    <row r="55" spans="1:9" ht="18" customHeight="1" x14ac:dyDescent="0.25">
      <c r="A55" s="14">
        <f t="shared" si="1"/>
        <v>47</v>
      </c>
      <c r="B55" s="8"/>
      <c r="C55" s="15"/>
      <c r="D55" s="10"/>
      <c r="E55" s="32"/>
      <c r="F55" s="27"/>
      <c r="G55" s="18">
        <f t="shared" si="0"/>
        <v>-40</v>
      </c>
      <c r="H55" s="18"/>
      <c r="I55" s="7"/>
    </row>
    <row r="56" spans="1:9" ht="18" customHeight="1" x14ac:dyDescent="0.25">
      <c r="A56" s="14">
        <f t="shared" si="1"/>
        <v>48</v>
      </c>
      <c r="B56" s="8"/>
      <c r="C56" s="15"/>
      <c r="D56" s="10"/>
      <c r="E56" s="32"/>
      <c r="F56" s="27"/>
      <c r="G56" s="18">
        <f t="shared" si="0"/>
        <v>-40</v>
      </c>
      <c r="H56" s="18"/>
      <c r="I56" s="7"/>
    </row>
    <row r="57" spans="1:9" ht="18" customHeight="1" x14ac:dyDescent="0.25">
      <c r="A57" s="14">
        <f t="shared" si="1"/>
        <v>49</v>
      </c>
      <c r="B57" s="8"/>
      <c r="C57" s="15"/>
      <c r="D57" s="10"/>
      <c r="E57" s="32"/>
      <c r="F57" s="27"/>
      <c r="G57" s="18">
        <f t="shared" si="0"/>
        <v>-40</v>
      </c>
      <c r="H57" s="18"/>
      <c r="I57" s="7"/>
    </row>
    <row r="58" spans="1:9" ht="18" customHeight="1" x14ac:dyDescent="0.25">
      <c r="A58" s="14">
        <f t="shared" si="1"/>
        <v>50</v>
      </c>
      <c r="B58" s="37"/>
      <c r="C58" s="15"/>
      <c r="D58" s="10"/>
      <c r="E58" s="32"/>
      <c r="F58" s="27"/>
      <c r="G58" s="18">
        <f t="shared" si="0"/>
        <v>-40</v>
      </c>
      <c r="H58" s="18"/>
      <c r="I58" s="7"/>
    </row>
    <row r="59" spans="1:9" ht="18" customHeight="1" x14ac:dyDescent="0.25">
      <c r="A59" s="14">
        <f t="shared" si="1"/>
        <v>51</v>
      </c>
      <c r="B59" s="37"/>
      <c r="C59" s="15"/>
      <c r="D59" s="10"/>
      <c r="E59" s="32"/>
      <c r="F59" s="27"/>
      <c r="G59" s="18">
        <f t="shared" si="0"/>
        <v>-40</v>
      </c>
      <c r="H59" s="18"/>
      <c r="I59" s="7"/>
    </row>
    <row r="60" spans="1:9" x14ac:dyDescent="0.25">
      <c r="A60" s="14">
        <f t="shared" si="1"/>
        <v>52</v>
      </c>
      <c r="B60" s="37"/>
      <c r="C60" s="46"/>
      <c r="D60" s="10"/>
      <c r="E60" s="32"/>
      <c r="F60" s="27"/>
      <c r="G60" s="18">
        <f t="shared" si="0"/>
        <v>-40</v>
      </c>
      <c r="H60" s="47"/>
      <c r="I60" s="7"/>
    </row>
    <row r="61" spans="1:9" x14ac:dyDescent="0.25">
      <c r="A61" s="7"/>
      <c r="B61" s="7"/>
      <c r="C61" s="34" t="s">
        <v>13</v>
      </c>
      <c r="D61" s="7"/>
      <c r="E61" s="35">
        <f>SUM(E9:E60)</f>
        <v>500</v>
      </c>
      <c r="F61" s="35">
        <f>SUM(F9:F60)</f>
        <v>540</v>
      </c>
      <c r="G61" s="35">
        <f>+G8+E61-F61</f>
        <v>-40</v>
      </c>
      <c r="H61" s="35"/>
      <c r="I61" s="36"/>
    </row>
    <row r="62" spans="1:9" x14ac:dyDescent="0.25">
      <c r="F62">
        <f>18676-18566</f>
        <v>110</v>
      </c>
    </row>
    <row r="66" spans="8:8" x14ac:dyDescent="0.25">
      <c r="H66">
        <f>25*60+6+46</f>
        <v>1552</v>
      </c>
    </row>
    <row r="67" spans="8:8" x14ac:dyDescent="0.25">
      <c r="H67">
        <f>1545-1552</f>
        <v>-7</v>
      </c>
    </row>
  </sheetData>
  <mergeCells count="1">
    <mergeCell ref="A4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J60"/>
  <sheetViews>
    <sheetView topLeftCell="A4" workbookViewId="0">
      <selection activeCell="F11" sqref="F11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9.7109375" customWidth="1"/>
    <col min="7" max="7" width="10.5703125" customWidth="1"/>
    <col min="8" max="8" width="22.28515625" style="48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7.57031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7.57031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7.57031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7.57031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7.57031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7.57031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7.57031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7.57031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7.57031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7.57031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7.57031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7.57031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7.57031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7.57031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7.57031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7.57031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7.57031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7.57031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7.57031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7.57031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7.57031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7.57031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7.57031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7.57031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7.57031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7.57031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7.57031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7.57031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7.57031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7.57031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7.57031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7.57031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7.57031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7.57031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7.57031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7.57031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7.57031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7.57031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7.57031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7.57031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7.57031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7.57031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7.57031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7.57031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7.57031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7.57031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7.57031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7.57031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7.57031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7.57031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7.57031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7.57031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7.57031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7.57031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7.57031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7.57031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7.57031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7.57031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7.57031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7.57031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7.57031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7.57031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7.57031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271" t="str">
        <f>+'[1]Hộp CB'!A4:I5</f>
        <v>THẺ KHO NGUYÊN VẬT LIỆU</v>
      </c>
      <c r="B4" s="271"/>
      <c r="C4" s="271"/>
      <c r="D4" s="271"/>
      <c r="E4" s="271"/>
      <c r="F4" s="271"/>
      <c r="G4" s="271"/>
      <c r="H4" s="271"/>
      <c r="I4" s="271"/>
    </row>
    <row r="5" spans="1:10" x14ac:dyDescent="0.25">
      <c r="A5" s="271"/>
      <c r="B5" s="271"/>
      <c r="C5" s="271"/>
      <c r="D5" s="271"/>
      <c r="E5" s="271"/>
      <c r="F5" s="271"/>
      <c r="G5" s="271"/>
      <c r="H5" s="271"/>
      <c r="I5" s="271"/>
      <c r="J5">
        <f>5+10+5+2+10+10+3+7+8</f>
        <v>60</v>
      </c>
    </row>
    <row r="7" spans="1:10" ht="27.75" customHeight="1" x14ac:dyDescent="0.25">
      <c r="A7" s="4" t="s">
        <v>3</v>
      </c>
      <c r="B7" s="4" t="s">
        <v>4</v>
      </c>
      <c r="C7" s="4" t="s">
        <v>31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8" customHeight="1" x14ac:dyDescent="0.25">
      <c r="A8" s="7"/>
      <c r="B8" s="8"/>
      <c r="C8" s="9" t="s">
        <v>14</v>
      </c>
      <c r="D8" s="10"/>
      <c r="E8" s="11"/>
      <c r="F8" s="12"/>
      <c r="G8" s="152"/>
      <c r="H8" s="29"/>
      <c r="I8" s="7"/>
    </row>
    <row r="9" spans="1:10" ht="18" customHeight="1" x14ac:dyDescent="0.25">
      <c r="A9" s="14">
        <v>1</v>
      </c>
      <c r="B9" s="8">
        <v>45705</v>
      </c>
      <c r="C9" s="15" t="s">
        <v>46</v>
      </c>
      <c r="D9" s="10" t="s">
        <v>20</v>
      </c>
      <c r="E9" s="16">
        <v>400</v>
      </c>
      <c r="F9" s="27"/>
      <c r="G9" s="18">
        <f t="shared" ref="G9" si="0">+G8+E9-F9</f>
        <v>400</v>
      </c>
      <c r="H9" s="28" t="s">
        <v>24</v>
      </c>
      <c r="I9" s="7" t="s">
        <v>25</v>
      </c>
    </row>
    <row r="10" spans="1:10" ht="18" customHeight="1" x14ac:dyDescent="0.25">
      <c r="A10" s="14">
        <f t="shared" ref="A10:A41" si="1">+A9+1</f>
        <v>2</v>
      </c>
      <c r="B10" s="39">
        <v>45736</v>
      </c>
      <c r="C10" s="15"/>
      <c r="D10" s="10" t="s">
        <v>20</v>
      </c>
      <c r="E10" s="16"/>
      <c r="F10" s="40">
        <v>183</v>
      </c>
      <c r="G10" s="18">
        <f>+G9+E10-F10</f>
        <v>217</v>
      </c>
      <c r="H10" s="28" t="s">
        <v>32</v>
      </c>
      <c r="I10" s="7" t="s">
        <v>25</v>
      </c>
    </row>
    <row r="11" spans="1:10" ht="18" customHeight="1" x14ac:dyDescent="0.25">
      <c r="A11" s="14">
        <f t="shared" si="1"/>
        <v>3</v>
      </c>
      <c r="B11" s="39">
        <v>45750</v>
      </c>
      <c r="C11" s="15"/>
      <c r="D11" s="10"/>
      <c r="E11" s="16"/>
      <c r="F11" s="40">
        <v>217</v>
      </c>
      <c r="G11" s="18">
        <f t="shared" ref="G11:G42" si="2">+G10+E11-F11</f>
        <v>0</v>
      </c>
      <c r="H11" s="28" t="s">
        <v>24</v>
      </c>
      <c r="I11" s="7" t="s">
        <v>25</v>
      </c>
    </row>
    <row r="12" spans="1:10" ht="18" customHeight="1" x14ac:dyDescent="0.25">
      <c r="A12" s="14">
        <f t="shared" si="1"/>
        <v>4</v>
      </c>
      <c r="B12" s="39"/>
      <c r="C12" s="15"/>
      <c r="D12" s="10"/>
      <c r="E12" s="16"/>
      <c r="F12" s="40"/>
      <c r="G12" s="18">
        <f t="shared" si="2"/>
        <v>0</v>
      </c>
      <c r="H12" s="28" t="s">
        <v>24</v>
      </c>
      <c r="I12" s="7" t="s">
        <v>25</v>
      </c>
    </row>
    <row r="13" spans="1:10" ht="18" customHeight="1" x14ac:dyDescent="0.25">
      <c r="A13" s="14">
        <f t="shared" si="1"/>
        <v>5</v>
      </c>
      <c r="B13" s="39"/>
      <c r="C13" s="15"/>
      <c r="D13" s="10"/>
      <c r="E13" s="16"/>
      <c r="F13" s="40"/>
      <c r="G13" s="18">
        <f t="shared" si="2"/>
        <v>0</v>
      </c>
      <c r="H13" s="28" t="s">
        <v>24</v>
      </c>
      <c r="I13" s="7" t="s">
        <v>25</v>
      </c>
    </row>
    <row r="14" spans="1:10" ht="18" customHeight="1" x14ac:dyDescent="0.25">
      <c r="A14" s="14">
        <f t="shared" si="1"/>
        <v>6</v>
      </c>
      <c r="B14" s="41"/>
      <c r="C14" s="15"/>
      <c r="D14" s="10"/>
      <c r="E14" s="16"/>
      <c r="F14" s="27"/>
      <c r="G14" s="18">
        <f t="shared" si="2"/>
        <v>0</v>
      </c>
      <c r="H14" s="28" t="s">
        <v>24</v>
      </c>
      <c r="I14" s="7" t="s">
        <v>25</v>
      </c>
      <c r="J14" s="26"/>
    </row>
    <row r="15" spans="1:10" ht="18" customHeight="1" x14ac:dyDescent="0.25">
      <c r="A15" s="14">
        <f t="shared" si="1"/>
        <v>7</v>
      </c>
      <c r="B15" s="41"/>
      <c r="C15" s="15"/>
      <c r="D15" s="10"/>
      <c r="E15" s="16"/>
      <c r="F15" s="27"/>
      <c r="G15" s="18">
        <f t="shared" si="2"/>
        <v>0</v>
      </c>
      <c r="H15" s="28"/>
      <c r="I15" s="7"/>
      <c r="J15" s="26"/>
    </row>
    <row r="16" spans="1:10" ht="18" customHeight="1" x14ac:dyDescent="0.25">
      <c r="A16" s="14">
        <f t="shared" si="1"/>
        <v>8</v>
      </c>
      <c r="B16" s="41"/>
      <c r="C16" s="15"/>
      <c r="D16" s="10"/>
      <c r="E16" s="16"/>
      <c r="F16" s="27"/>
      <c r="G16" s="18">
        <f t="shared" si="2"/>
        <v>0</v>
      </c>
      <c r="H16" s="28"/>
      <c r="I16" s="7"/>
    </row>
    <row r="17" spans="1:9" ht="16.5" customHeight="1" x14ac:dyDescent="0.25">
      <c r="A17" s="14">
        <f t="shared" si="1"/>
        <v>9</v>
      </c>
      <c r="B17" s="39"/>
      <c r="C17" s="15"/>
      <c r="D17" s="10"/>
      <c r="E17" s="16"/>
      <c r="F17" s="17"/>
      <c r="G17" s="18">
        <f t="shared" si="2"/>
        <v>0</v>
      </c>
      <c r="H17" s="28"/>
      <c r="I17" s="7"/>
    </row>
    <row r="18" spans="1:9" ht="16.5" customHeight="1" x14ac:dyDescent="0.25">
      <c r="A18" s="14">
        <f t="shared" si="1"/>
        <v>10</v>
      </c>
      <c r="B18" s="42"/>
      <c r="C18" s="15"/>
      <c r="D18" s="10"/>
      <c r="E18" s="16"/>
      <c r="F18" s="17"/>
      <c r="G18" s="18">
        <f t="shared" si="2"/>
        <v>0</v>
      </c>
      <c r="H18" s="28"/>
      <c r="I18" s="7"/>
    </row>
    <row r="19" spans="1:9" ht="16.5" customHeight="1" x14ac:dyDescent="0.25">
      <c r="A19" s="14">
        <f t="shared" si="1"/>
        <v>11</v>
      </c>
      <c r="B19" s="39"/>
      <c r="C19" s="15"/>
      <c r="D19" s="10"/>
      <c r="E19" s="16"/>
      <c r="F19" s="17"/>
      <c r="G19" s="18">
        <f t="shared" si="2"/>
        <v>0</v>
      </c>
      <c r="H19" s="28"/>
      <c r="I19" s="7"/>
    </row>
    <row r="20" spans="1:9" ht="16.5" customHeight="1" x14ac:dyDescent="0.25">
      <c r="A20" s="14">
        <f t="shared" si="1"/>
        <v>12</v>
      </c>
      <c r="B20" s="39"/>
      <c r="C20" s="15"/>
      <c r="D20" s="10"/>
      <c r="E20" s="16"/>
      <c r="F20" s="17"/>
      <c r="G20" s="18">
        <f t="shared" si="2"/>
        <v>0</v>
      </c>
      <c r="H20" s="28"/>
      <c r="I20" s="7"/>
    </row>
    <row r="21" spans="1:9" ht="16.5" customHeight="1" x14ac:dyDescent="0.25">
      <c r="A21" s="14">
        <f t="shared" si="1"/>
        <v>13</v>
      </c>
      <c r="B21" s="39"/>
      <c r="C21" s="15"/>
      <c r="D21" s="10"/>
      <c r="E21" s="16"/>
      <c r="F21" s="27"/>
      <c r="G21" s="18">
        <f t="shared" si="2"/>
        <v>0</v>
      </c>
      <c r="H21" s="28"/>
      <c r="I21" s="7"/>
    </row>
    <row r="22" spans="1:9" ht="16.5" customHeight="1" x14ac:dyDescent="0.25">
      <c r="A22" s="14">
        <f t="shared" si="1"/>
        <v>14</v>
      </c>
      <c r="B22" s="39"/>
      <c r="C22" s="15"/>
      <c r="D22" s="10"/>
      <c r="E22" s="32"/>
      <c r="F22" s="17"/>
      <c r="G22" s="18">
        <f t="shared" si="2"/>
        <v>0</v>
      </c>
      <c r="H22" s="28"/>
      <c r="I22" s="7"/>
    </row>
    <row r="23" spans="1:9" ht="16.5" customHeight="1" x14ac:dyDescent="0.25">
      <c r="A23" s="14">
        <f t="shared" si="1"/>
        <v>15</v>
      </c>
      <c r="B23" s="39"/>
      <c r="C23" s="15"/>
      <c r="D23" s="10"/>
      <c r="E23" s="32"/>
      <c r="F23" s="17"/>
      <c r="G23" s="18">
        <f t="shared" si="2"/>
        <v>0</v>
      </c>
      <c r="H23" s="28"/>
      <c r="I23" s="7"/>
    </row>
    <row r="24" spans="1:9" ht="16.5" customHeight="1" x14ac:dyDescent="0.25">
      <c r="A24" s="14">
        <f t="shared" si="1"/>
        <v>16</v>
      </c>
      <c r="B24" s="39"/>
      <c r="C24" s="15"/>
      <c r="D24" s="10"/>
      <c r="E24" s="32"/>
      <c r="F24" s="17"/>
      <c r="G24" s="18">
        <f t="shared" si="2"/>
        <v>0</v>
      </c>
      <c r="H24" s="28"/>
      <c r="I24" s="7"/>
    </row>
    <row r="25" spans="1:9" ht="16.5" customHeight="1" x14ac:dyDescent="0.25">
      <c r="A25" s="14">
        <f t="shared" si="1"/>
        <v>17</v>
      </c>
      <c r="B25" s="39"/>
      <c r="C25" s="15"/>
      <c r="D25" s="10"/>
      <c r="E25" s="32"/>
      <c r="F25" s="17"/>
      <c r="G25" s="18">
        <f t="shared" si="2"/>
        <v>0</v>
      </c>
      <c r="H25" s="28"/>
      <c r="I25" s="7"/>
    </row>
    <row r="26" spans="1:9" ht="16.5" customHeight="1" x14ac:dyDescent="0.25">
      <c r="A26" s="14">
        <f t="shared" si="1"/>
        <v>18</v>
      </c>
      <c r="B26" s="39"/>
      <c r="C26" s="15"/>
      <c r="D26" s="10"/>
      <c r="E26" s="32"/>
      <c r="F26" s="17"/>
      <c r="G26" s="18">
        <f t="shared" si="2"/>
        <v>0</v>
      </c>
      <c r="H26" s="28"/>
      <c r="I26" s="7"/>
    </row>
    <row r="27" spans="1:9" ht="16.5" customHeight="1" x14ac:dyDescent="0.25">
      <c r="A27" s="14">
        <f t="shared" si="1"/>
        <v>19</v>
      </c>
      <c r="B27" s="39"/>
      <c r="C27" s="15"/>
      <c r="D27" s="10"/>
      <c r="E27" s="32"/>
      <c r="F27" s="17"/>
      <c r="G27" s="18">
        <f t="shared" si="2"/>
        <v>0</v>
      </c>
      <c r="H27" s="28"/>
      <c r="I27" s="7"/>
    </row>
    <row r="28" spans="1:9" ht="16.5" customHeight="1" x14ac:dyDescent="0.25">
      <c r="A28" s="14">
        <f t="shared" si="1"/>
        <v>20</v>
      </c>
      <c r="B28" s="43"/>
      <c r="C28" s="15"/>
      <c r="D28" s="10"/>
      <c r="E28" s="32"/>
      <c r="F28" s="17"/>
      <c r="G28" s="18">
        <f t="shared" si="2"/>
        <v>0</v>
      </c>
      <c r="H28" s="28"/>
      <c r="I28" s="7"/>
    </row>
    <row r="29" spans="1:9" ht="16.5" customHeight="1" x14ac:dyDescent="0.25">
      <c r="A29" s="14">
        <f t="shared" si="1"/>
        <v>21</v>
      </c>
      <c r="B29" s="44"/>
      <c r="C29" s="15"/>
      <c r="D29" s="10"/>
      <c r="E29" s="32"/>
      <c r="F29" s="17"/>
      <c r="G29" s="18">
        <f t="shared" si="2"/>
        <v>0</v>
      </c>
      <c r="H29" s="28"/>
      <c r="I29" s="7"/>
    </row>
    <row r="30" spans="1:9" ht="16.5" customHeight="1" x14ac:dyDescent="0.25">
      <c r="A30" s="14">
        <f t="shared" si="1"/>
        <v>22</v>
      </c>
      <c r="B30" s="44"/>
      <c r="C30" s="15"/>
      <c r="D30" s="10"/>
      <c r="E30" s="32"/>
      <c r="F30" s="17"/>
      <c r="G30" s="18">
        <f t="shared" si="2"/>
        <v>0</v>
      </c>
      <c r="H30" s="28"/>
      <c r="I30" s="7"/>
    </row>
    <row r="31" spans="1:9" ht="16.5" customHeight="1" x14ac:dyDescent="0.25">
      <c r="A31" s="14">
        <f t="shared" si="1"/>
        <v>23</v>
      </c>
      <c r="B31" s="45"/>
      <c r="C31" s="15"/>
      <c r="D31" s="10"/>
      <c r="E31" s="32"/>
      <c r="F31" s="17"/>
      <c r="G31" s="18">
        <f t="shared" si="2"/>
        <v>0</v>
      </c>
      <c r="H31" s="28"/>
      <c r="I31" s="7"/>
    </row>
    <row r="32" spans="1:9" ht="16.5" customHeight="1" x14ac:dyDescent="0.25">
      <c r="A32" s="14">
        <f t="shared" si="1"/>
        <v>24</v>
      </c>
      <c r="B32" s="45"/>
      <c r="C32" s="15"/>
      <c r="D32" s="10"/>
      <c r="E32" s="32"/>
      <c r="F32" s="27"/>
      <c r="G32" s="18">
        <f t="shared" si="2"/>
        <v>0</v>
      </c>
      <c r="H32" s="28"/>
      <c r="I32" s="7"/>
    </row>
    <row r="33" spans="1:9" ht="16.5" customHeight="1" x14ac:dyDescent="0.25">
      <c r="A33" s="14">
        <f t="shared" si="1"/>
        <v>25</v>
      </c>
      <c r="B33" s="45"/>
      <c r="C33" s="15"/>
      <c r="D33" s="10"/>
      <c r="E33" s="32"/>
      <c r="F33" s="27"/>
      <c r="G33" s="18">
        <f t="shared" si="2"/>
        <v>0</v>
      </c>
      <c r="H33" s="28"/>
      <c r="I33" s="7"/>
    </row>
    <row r="34" spans="1:9" ht="16.5" customHeight="1" x14ac:dyDescent="0.25">
      <c r="A34" s="14">
        <f t="shared" si="1"/>
        <v>26</v>
      </c>
      <c r="B34" s="8"/>
      <c r="C34" s="15"/>
      <c r="D34" s="10"/>
      <c r="E34" s="32"/>
      <c r="F34" s="27"/>
      <c r="G34" s="18">
        <f t="shared" si="2"/>
        <v>0</v>
      </c>
      <c r="H34" s="28"/>
      <c r="I34" s="7"/>
    </row>
    <row r="35" spans="1:9" ht="16.5" customHeight="1" x14ac:dyDescent="0.25">
      <c r="A35" s="14">
        <f t="shared" si="1"/>
        <v>27</v>
      </c>
      <c r="B35" s="8"/>
      <c r="C35" s="15"/>
      <c r="D35" s="10"/>
      <c r="E35" s="32"/>
      <c r="F35" s="27"/>
      <c r="G35" s="18">
        <f t="shared" si="2"/>
        <v>0</v>
      </c>
      <c r="H35" s="28"/>
      <c r="I35" s="7"/>
    </row>
    <row r="36" spans="1:9" ht="16.5" customHeight="1" x14ac:dyDescent="0.25">
      <c r="A36" s="14">
        <f t="shared" si="1"/>
        <v>28</v>
      </c>
      <c r="B36" s="8"/>
      <c r="C36" s="15"/>
      <c r="D36" s="10"/>
      <c r="E36" s="32"/>
      <c r="F36" s="27"/>
      <c r="G36" s="18">
        <f t="shared" si="2"/>
        <v>0</v>
      </c>
      <c r="H36" s="28"/>
      <c r="I36" s="7"/>
    </row>
    <row r="37" spans="1:9" ht="16.5" customHeight="1" x14ac:dyDescent="0.25">
      <c r="A37" s="14">
        <f>+A36+1</f>
        <v>29</v>
      </c>
      <c r="B37" s="8"/>
      <c r="C37" s="15"/>
      <c r="D37" s="10"/>
      <c r="E37" s="32"/>
      <c r="F37" s="27"/>
      <c r="G37" s="18">
        <f t="shared" si="2"/>
        <v>0</v>
      </c>
      <c r="H37" s="28"/>
      <c r="I37" s="7"/>
    </row>
    <row r="38" spans="1:9" ht="16.5" customHeight="1" x14ac:dyDescent="0.25">
      <c r="A38" s="14">
        <f t="shared" si="1"/>
        <v>30</v>
      </c>
      <c r="B38" s="8"/>
      <c r="C38" s="15"/>
      <c r="D38" s="10"/>
      <c r="E38" s="32"/>
      <c r="F38" s="27"/>
      <c r="G38" s="18">
        <f t="shared" si="2"/>
        <v>0</v>
      </c>
      <c r="H38" s="28"/>
      <c r="I38" s="7"/>
    </row>
    <row r="39" spans="1:9" ht="16.5" customHeight="1" x14ac:dyDescent="0.25">
      <c r="A39" s="14">
        <f t="shared" si="1"/>
        <v>31</v>
      </c>
      <c r="B39" s="8"/>
      <c r="C39" s="15"/>
      <c r="D39" s="10"/>
      <c r="E39" s="32"/>
      <c r="F39" s="27"/>
      <c r="G39" s="18">
        <f t="shared" si="2"/>
        <v>0</v>
      </c>
      <c r="H39" s="28"/>
      <c r="I39" s="7"/>
    </row>
    <row r="40" spans="1:9" ht="16.5" customHeight="1" x14ac:dyDescent="0.25">
      <c r="A40" s="14">
        <f t="shared" si="1"/>
        <v>32</v>
      </c>
      <c r="B40" s="37"/>
      <c r="C40" s="15"/>
      <c r="D40" s="10"/>
      <c r="E40" s="32"/>
      <c r="F40" s="27"/>
      <c r="G40" s="18">
        <f t="shared" si="2"/>
        <v>0</v>
      </c>
      <c r="H40" s="28"/>
      <c r="I40" s="7"/>
    </row>
    <row r="41" spans="1:9" ht="16.5" customHeight="1" x14ac:dyDescent="0.25">
      <c r="A41" s="14">
        <f t="shared" si="1"/>
        <v>33</v>
      </c>
      <c r="B41" s="37"/>
      <c r="C41" s="15"/>
      <c r="D41" s="10"/>
      <c r="E41" s="32"/>
      <c r="F41" s="27"/>
      <c r="G41" s="18">
        <f t="shared" si="2"/>
        <v>0</v>
      </c>
      <c r="H41" s="28"/>
      <c r="I41" s="7"/>
    </row>
    <row r="42" spans="1:9" ht="16.5" customHeight="1" x14ac:dyDescent="0.25">
      <c r="A42" s="14"/>
      <c r="B42" s="37"/>
      <c r="C42" s="46"/>
      <c r="D42" s="10"/>
      <c r="E42" s="32"/>
      <c r="F42" s="27"/>
      <c r="G42" s="18">
        <f t="shared" si="2"/>
        <v>0</v>
      </c>
      <c r="H42" s="49"/>
      <c r="I42" s="7"/>
    </row>
    <row r="43" spans="1:9" ht="16.5" customHeight="1" x14ac:dyDescent="0.25">
      <c r="A43" s="7"/>
      <c r="B43" s="7"/>
      <c r="C43" s="34" t="s">
        <v>13</v>
      </c>
      <c r="D43" s="7"/>
      <c r="E43" s="35">
        <f>SUM(E9:E42)</f>
        <v>400</v>
      </c>
      <c r="F43" s="35">
        <f>SUM(F9:F42)</f>
        <v>400</v>
      </c>
      <c r="G43" s="35">
        <f>+G8+E43-F43</f>
        <v>0</v>
      </c>
      <c r="H43" s="50"/>
      <c r="I43" s="36"/>
    </row>
    <row r="44" spans="1:9" x14ac:dyDescent="0.25">
      <c r="F44">
        <f>18676-18566</f>
        <v>110</v>
      </c>
    </row>
    <row r="54" spans="6:7" x14ac:dyDescent="0.25">
      <c r="F54">
        <f>481-442</f>
        <v>39</v>
      </c>
    </row>
    <row r="60" spans="6:7" x14ac:dyDescent="0.25">
      <c r="G60">
        <f>442-360</f>
        <v>82</v>
      </c>
    </row>
  </sheetData>
  <mergeCells count="1">
    <mergeCell ref="A4:I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O88"/>
  <sheetViews>
    <sheetView topLeftCell="A7" workbookViewId="0">
      <selection activeCell="F26" sqref="F26:F27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5703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271" t="s">
        <v>2</v>
      </c>
      <c r="B4" s="271"/>
      <c r="C4" s="271"/>
      <c r="D4" s="271"/>
      <c r="E4" s="271"/>
      <c r="F4" s="271"/>
      <c r="G4" s="271"/>
      <c r="H4" s="271"/>
      <c r="I4" s="271"/>
    </row>
    <row r="5" spans="1:10" x14ac:dyDescent="0.25">
      <c r="A5" s="271"/>
      <c r="B5" s="271"/>
      <c r="C5" s="271"/>
      <c r="D5" s="271"/>
      <c r="E5" s="271"/>
      <c r="F5" s="271"/>
      <c r="G5" s="271"/>
      <c r="H5" s="271"/>
      <c r="I5" s="271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31</v>
      </c>
      <c r="D8" s="4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/>
      <c r="C9" s="9" t="s">
        <v>11</v>
      </c>
      <c r="D9" s="10"/>
      <c r="E9" s="11"/>
      <c r="F9" s="12"/>
      <c r="G9" s="51"/>
      <c r="H9" s="7"/>
      <c r="I9" s="7"/>
    </row>
    <row r="10" spans="1:10" ht="18" customHeight="1" x14ac:dyDescent="0.25">
      <c r="A10" s="14">
        <v>1</v>
      </c>
      <c r="B10" s="8">
        <v>45708</v>
      </c>
      <c r="C10" s="15" t="s">
        <v>50</v>
      </c>
      <c r="D10" s="10" t="s">
        <v>19</v>
      </c>
      <c r="E10" s="16">
        <v>13458</v>
      </c>
      <c r="F10" s="52"/>
      <c r="G10" s="18">
        <f t="shared" ref="G10:G46" si="0">+G9+E10-F10</f>
        <v>13458</v>
      </c>
      <c r="H10" s="18" t="s">
        <v>26</v>
      </c>
      <c r="I10" s="7" t="s">
        <v>51</v>
      </c>
      <c r="J10" s="26"/>
    </row>
    <row r="11" spans="1:10" ht="18" customHeight="1" x14ac:dyDescent="0.25">
      <c r="A11" s="14">
        <f t="shared" ref="A11:A46" si="1">+A10+1</f>
        <v>2</v>
      </c>
      <c r="B11" s="8">
        <v>45709</v>
      </c>
      <c r="C11" s="15"/>
      <c r="D11" s="10" t="s">
        <v>19</v>
      </c>
      <c r="E11" s="16">
        <v>19210</v>
      </c>
      <c r="F11" s="52"/>
      <c r="G11" s="18">
        <f t="shared" si="0"/>
        <v>32668</v>
      </c>
      <c r="H11" s="18" t="s">
        <v>26</v>
      </c>
      <c r="I11" s="7" t="s">
        <v>53</v>
      </c>
    </row>
    <row r="12" spans="1:10" ht="18" customHeight="1" x14ac:dyDescent="0.25">
      <c r="A12" s="14">
        <f t="shared" si="1"/>
        <v>3</v>
      </c>
      <c r="B12" s="8">
        <v>45712</v>
      </c>
      <c r="C12" s="15"/>
      <c r="D12" s="10" t="s">
        <v>19</v>
      </c>
      <c r="E12" s="16"/>
      <c r="F12" s="53">
        <v>758</v>
      </c>
      <c r="G12" s="18">
        <f t="shared" si="0"/>
        <v>31910</v>
      </c>
      <c r="H12" s="18" t="s">
        <v>26</v>
      </c>
      <c r="I12" s="7" t="s">
        <v>25</v>
      </c>
    </row>
    <row r="13" spans="1:10" ht="18" customHeight="1" x14ac:dyDescent="0.25">
      <c r="A13" s="14">
        <f t="shared" si="1"/>
        <v>4</v>
      </c>
      <c r="B13" s="8">
        <v>45716</v>
      </c>
      <c r="C13" s="15"/>
      <c r="D13" s="10" t="s">
        <v>19</v>
      </c>
      <c r="E13" s="16"/>
      <c r="F13" s="53">
        <v>794</v>
      </c>
      <c r="G13" s="18">
        <f t="shared" si="0"/>
        <v>31116</v>
      </c>
      <c r="H13" s="18" t="s">
        <v>26</v>
      </c>
      <c r="I13" s="7" t="s">
        <v>25</v>
      </c>
    </row>
    <row r="14" spans="1:10" ht="18" customHeight="1" x14ac:dyDescent="0.25">
      <c r="A14" s="14">
        <f t="shared" si="1"/>
        <v>5</v>
      </c>
      <c r="B14" s="8">
        <v>45717</v>
      </c>
      <c r="C14" s="15"/>
      <c r="D14" s="10" t="s">
        <v>19</v>
      </c>
      <c r="E14" s="16"/>
      <c r="F14" s="53">
        <v>2318</v>
      </c>
      <c r="G14" s="18">
        <f t="shared" si="0"/>
        <v>28798</v>
      </c>
      <c r="H14" s="18" t="s">
        <v>26</v>
      </c>
      <c r="I14" s="7" t="s">
        <v>25</v>
      </c>
    </row>
    <row r="15" spans="1:10" ht="18" customHeight="1" x14ac:dyDescent="0.25">
      <c r="A15" s="14">
        <f t="shared" si="1"/>
        <v>6</v>
      </c>
      <c r="B15" s="8">
        <v>45719</v>
      </c>
      <c r="C15" s="15"/>
      <c r="D15" s="10" t="s">
        <v>19</v>
      </c>
      <c r="E15" s="16"/>
      <c r="F15" s="53">
        <v>3194</v>
      </c>
      <c r="G15" s="18">
        <f t="shared" si="0"/>
        <v>25604</v>
      </c>
      <c r="H15" s="18" t="s">
        <v>26</v>
      </c>
      <c r="I15" s="7" t="s">
        <v>25</v>
      </c>
      <c r="J15" t="s">
        <v>15</v>
      </c>
    </row>
    <row r="16" spans="1:10" ht="18" customHeight="1" x14ac:dyDescent="0.25">
      <c r="A16" s="14">
        <f t="shared" si="1"/>
        <v>7</v>
      </c>
      <c r="B16" s="8">
        <v>45720</v>
      </c>
      <c r="C16" s="15"/>
      <c r="D16" s="10" t="s">
        <v>19</v>
      </c>
      <c r="E16" s="16"/>
      <c r="F16" s="53">
        <v>3316</v>
      </c>
      <c r="G16" s="18">
        <f t="shared" si="0"/>
        <v>22288</v>
      </c>
      <c r="H16" s="28"/>
      <c r="I16" s="29"/>
      <c r="J16" s="26"/>
    </row>
    <row r="17" spans="1:15" ht="18" customHeight="1" x14ac:dyDescent="0.25">
      <c r="A17" s="14">
        <f t="shared" si="1"/>
        <v>8</v>
      </c>
      <c r="B17" s="8">
        <v>45721</v>
      </c>
      <c r="C17" s="15"/>
      <c r="D17" s="10" t="s">
        <v>19</v>
      </c>
      <c r="E17" s="16"/>
      <c r="F17" s="53">
        <v>3276</v>
      </c>
      <c r="G17" s="18">
        <f t="shared" si="0"/>
        <v>19012</v>
      </c>
      <c r="H17" s="28"/>
      <c r="I17" s="38"/>
    </row>
    <row r="18" spans="1:15" ht="18" customHeight="1" x14ac:dyDescent="0.25">
      <c r="A18" s="14">
        <f t="shared" si="1"/>
        <v>9</v>
      </c>
      <c r="B18" s="8">
        <v>45694</v>
      </c>
      <c r="C18" s="15"/>
      <c r="D18" s="10" t="s">
        <v>19</v>
      </c>
      <c r="E18" s="16"/>
      <c r="F18" s="53">
        <v>3137</v>
      </c>
      <c r="G18" s="18">
        <f t="shared" si="0"/>
        <v>15875</v>
      </c>
      <c r="H18" s="28"/>
      <c r="I18" s="38"/>
    </row>
    <row r="19" spans="1:15" ht="18" customHeight="1" x14ac:dyDescent="0.25">
      <c r="A19" s="14">
        <f t="shared" si="1"/>
        <v>10</v>
      </c>
      <c r="B19" s="44">
        <v>45724</v>
      </c>
      <c r="C19" s="15"/>
      <c r="D19" s="10" t="s">
        <v>19</v>
      </c>
      <c r="E19" s="16"/>
      <c r="F19" s="52">
        <v>1594</v>
      </c>
      <c r="G19" s="18">
        <f t="shared" si="0"/>
        <v>14281</v>
      </c>
      <c r="H19" s="28"/>
      <c r="I19" s="38"/>
    </row>
    <row r="20" spans="1:15" ht="18" customHeight="1" x14ac:dyDescent="0.25">
      <c r="A20" s="14">
        <f t="shared" si="1"/>
        <v>11</v>
      </c>
      <c r="B20" s="44">
        <v>45726</v>
      </c>
      <c r="C20" s="15"/>
      <c r="D20" s="10"/>
      <c r="E20" s="30"/>
      <c r="F20" s="52">
        <v>2457</v>
      </c>
      <c r="G20" s="18">
        <f t="shared" si="0"/>
        <v>11824</v>
      </c>
      <c r="H20" s="28"/>
      <c r="I20" s="38"/>
    </row>
    <row r="21" spans="1:15" ht="18" customHeight="1" x14ac:dyDescent="0.25">
      <c r="A21" s="14">
        <f t="shared" si="1"/>
        <v>12</v>
      </c>
      <c r="B21" s="8">
        <v>45727</v>
      </c>
      <c r="C21" s="15"/>
      <c r="D21" s="10"/>
      <c r="E21" s="16"/>
      <c r="F21" s="52">
        <v>3803</v>
      </c>
      <c r="G21" s="18">
        <f t="shared" si="0"/>
        <v>8021</v>
      </c>
      <c r="H21" s="28"/>
      <c r="I21" s="38"/>
    </row>
    <row r="22" spans="1:15" ht="18" customHeight="1" x14ac:dyDescent="0.25">
      <c r="A22" s="14">
        <f t="shared" si="1"/>
        <v>13</v>
      </c>
      <c r="B22" s="8">
        <v>45728</v>
      </c>
      <c r="C22" s="15"/>
      <c r="D22" s="10"/>
      <c r="E22" s="16"/>
      <c r="F22" s="52">
        <v>3955</v>
      </c>
      <c r="G22" s="18">
        <f t="shared" si="0"/>
        <v>4066</v>
      </c>
      <c r="H22" s="28"/>
      <c r="I22" s="29"/>
    </row>
    <row r="23" spans="1:15" ht="18" customHeight="1" x14ac:dyDescent="0.25">
      <c r="A23" s="14">
        <f t="shared" si="1"/>
        <v>14</v>
      </c>
      <c r="B23" s="8">
        <v>45729</v>
      </c>
      <c r="C23" s="15"/>
      <c r="D23" s="10"/>
      <c r="E23" s="16"/>
      <c r="F23" s="52">
        <v>882</v>
      </c>
      <c r="G23" s="18">
        <f t="shared" si="0"/>
        <v>3184</v>
      </c>
      <c r="H23" s="28"/>
      <c r="I23" s="29"/>
      <c r="M23">
        <f>28798+6336</f>
        <v>35134</v>
      </c>
    </row>
    <row r="24" spans="1:15" ht="18" customHeight="1" x14ac:dyDescent="0.25">
      <c r="A24" s="14">
        <f t="shared" si="1"/>
        <v>15</v>
      </c>
      <c r="B24" s="8">
        <v>45730</v>
      </c>
      <c r="C24" s="15"/>
      <c r="D24" s="10"/>
      <c r="E24" s="32">
        <v>6336</v>
      </c>
      <c r="F24" s="52"/>
      <c r="G24" s="18">
        <f t="shared" si="0"/>
        <v>9520</v>
      </c>
      <c r="H24" s="28"/>
      <c r="I24" s="29"/>
      <c r="O24">
        <f>7*20+17</f>
        <v>157</v>
      </c>
    </row>
    <row r="25" spans="1:15" ht="18" customHeight="1" x14ac:dyDescent="0.25">
      <c r="A25" s="14">
        <f t="shared" si="1"/>
        <v>16</v>
      </c>
      <c r="B25" s="8">
        <v>45731</v>
      </c>
      <c r="C25" s="15"/>
      <c r="D25" s="10"/>
      <c r="E25" s="32"/>
      <c r="F25" s="52">
        <f>742+800+806</f>
        <v>2348</v>
      </c>
      <c r="G25" s="18">
        <f t="shared" si="0"/>
        <v>7172</v>
      </c>
      <c r="H25" s="28"/>
      <c r="I25" s="29"/>
      <c r="O25">
        <f>+O24*16</f>
        <v>2512</v>
      </c>
    </row>
    <row r="26" spans="1:15" ht="18" customHeight="1" x14ac:dyDescent="0.25">
      <c r="A26" s="14">
        <f t="shared" si="1"/>
        <v>17</v>
      </c>
      <c r="B26" s="8">
        <v>45734</v>
      </c>
      <c r="C26" s="15"/>
      <c r="D26" s="10"/>
      <c r="E26" s="32"/>
      <c r="F26" s="52">
        <v>4730</v>
      </c>
      <c r="G26" s="18">
        <f t="shared" si="0"/>
        <v>2442</v>
      </c>
      <c r="H26" s="28"/>
      <c r="I26" s="29"/>
      <c r="O26">
        <f>+O25*91</f>
        <v>228592</v>
      </c>
    </row>
    <row r="27" spans="1:15" ht="18" customHeight="1" x14ac:dyDescent="0.25">
      <c r="A27" s="14">
        <f t="shared" si="1"/>
        <v>18</v>
      </c>
      <c r="B27" s="8">
        <v>45735</v>
      </c>
      <c r="C27" s="15"/>
      <c r="D27" s="10"/>
      <c r="E27" s="32"/>
      <c r="F27" s="27">
        <v>1620</v>
      </c>
      <c r="G27" s="18">
        <f t="shared" si="0"/>
        <v>822</v>
      </c>
      <c r="H27" s="28"/>
      <c r="I27" s="29"/>
      <c r="J27" s="26">
        <f>+F27-1843</f>
        <v>-223</v>
      </c>
      <c r="O27">
        <f>+O26/2810</f>
        <v>81.349466192170823</v>
      </c>
    </row>
    <row r="28" spans="1:15" ht="18" customHeight="1" x14ac:dyDescent="0.25">
      <c r="A28" s="14">
        <f t="shared" si="1"/>
        <v>19</v>
      </c>
      <c r="B28" s="8">
        <v>45740</v>
      </c>
      <c r="C28" s="15"/>
      <c r="D28" s="10"/>
      <c r="E28" s="32"/>
      <c r="F28" s="27">
        <v>822</v>
      </c>
      <c r="G28" s="18">
        <f t="shared" si="0"/>
        <v>0</v>
      </c>
      <c r="H28" s="28"/>
      <c r="I28" s="29"/>
    </row>
    <row r="29" spans="1:15" ht="18" customHeight="1" x14ac:dyDescent="0.25">
      <c r="A29" s="14">
        <f t="shared" si="1"/>
        <v>20</v>
      </c>
      <c r="B29" s="8"/>
      <c r="C29" s="15"/>
      <c r="D29" s="10"/>
      <c r="E29" s="32"/>
      <c r="F29" s="27"/>
      <c r="G29" s="18">
        <f t="shared" si="0"/>
        <v>0</v>
      </c>
      <c r="H29" s="28"/>
      <c r="I29" s="29"/>
    </row>
    <row r="30" spans="1:15" ht="18" customHeight="1" x14ac:dyDescent="0.25">
      <c r="A30" s="14">
        <f t="shared" si="1"/>
        <v>21</v>
      </c>
      <c r="B30" s="8"/>
      <c r="C30" s="15"/>
      <c r="D30" s="10"/>
      <c r="E30" s="32"/>
      <c r="F30" s="27"/>
      <c r="G30" s="18">
        <f t="shared" si="0"/>
        <v>0</v>
      </c>
      <c r="H30" s="28"/>
      <c r="I30" s="29"/>
    </row>
    <row r="31" spans="1:15" ht="18" customHeight="1" x14ac:dyDescent="0.25">
      <c r="A31" s="14">
        <f t="shared" si="1"/>
        <v>22</v>
      </c>
      <c r="B31" s="8"/>
      <c r="C31" s="15"/>
      <c r="D31" s="10"/>
      <c r="E31" s="32"/>
      <c r="F31" s="27"/>
      <c r="G31" s="18">
        <f t="shared" si="0"/>
        <v>0</v>
      </c>
      <c r="H31" s="28"/>
      <c r="I31" s="29"/>
    </row>
    <row r="32" spans="1:15" ht="18" customHeight="1" x14ac:dyDescent="0.25">
      <c r="A32" s="14">
        <f t="shared" si="1"/>
        <v>23</v>
      </c>
      <c r="B32" s="8"/>
      <c r="C32" s="15"/>
      <c r="D32" s="10"/>
      <c r="E32" s="32"/>
      <c r="F32" s="27"/>
      <c r="G32" s="18">
        <f t="shared" si="0"/>
        <v>0</v>
      </c>
      <c r="H32" s="28"/>
      <c r="I32" s="29"/>
      <c r="K32">
        <f>788+741+770+832+788+811</f>
        <v>4730</v>
      </c>
    </row>
    <row r="33" spans="1:9" ht="18" customHeight="1" x14ac:dyDescent="0.25">
      <c r="A33" s="14">
        <f t="shared" si="1"/>
        <v>24</v>
      </c>
      <c r="B33" s="8"/>
      <c r="C33" s="15"/>
      <c r="D33" s="10"/>
      <c r="E33" s="32"/>
      <c r="F33" s="27"/>
      <c r="G33" s="18">
        <f t="shared" si="0"/>
        <v>0</v>
      </c>
      <c r="H33" s="28"/>
      <c r="I33" s="29"/>
    </row>
    <row r="34" spans="1:9" ht="18" customHeight="1" x14ac:dyDescent="0.25">
      <c r="A34" s="14">
        <f t="shared" si="1"/>
        <v>25</v>
      </c>
      <c r="B34" s="8"/>
      <c r="C34" s="15"/>
      <c r="D34" s="10"/>
      <c r="E34" s="32"/>
      <c r="F34" s="27"/>
      <c r="G34" s="18">
        <f t="shared" si="0"/>
        <v>0</v>
      </c>
      <c r="H34" s="28"/>
      <c r="I34" s="29"/>
    </row>
    <row r="35" spans="1:9" ht="18" customHeight="1" x14ac:dyDescent="0.25">
      <c r="A35" s="14">
        <f t="shared" si="1"/>
        <v>26</v>
      </c>
      <c r="B35" s="8"/>
      <c r="C35" s="15"/>
      <c r="D35" s="10"/>
      <c r="E35" s="32"/>
      <c r="F35" s="27"/>
      <c r="G35" s="18">
        <f t="shared" si="0"/>
        <v>0</v>
      </c>
      <c r="H35" s="28"/>
      <c r="I35" s="29"/>
    </row>
    <row r="36" spans="1:9" ht="18" customHeight="1" x14ac:dyDescent="0.25">
      <c r="A36" s="14">
        <f t="shared" si="1"/>
        <v>27</v>
      </c>
      <c r="B36" s="8"/>
      <c r="C36" s="15"/>
      <c r="D36" s="10"/>
      <c r="E36" s="32"/>
      <c r="F36" s="27"/>
      <c r="G36" s="18">
        <f t="shared" si="0"/>
        <v>0</v>
      </c>
      <c r="H36" s="28"/>
      <c r="I36" s="29"/>
    </row>
    <row r="37" spans="1:9" ht="18" customHeight="1" x14ac:dyDescent="0.25">
      <c r="A37" s="14"/>
      <c r="B37" s="8"/>
      <c r="C37" s="15"/>
      <c r="D37" s="10"/>
      <c r="E37" s="32"/>
      <c r="F37" s="27"/>
      <c r="G37" s="18">
        <f t="shared" si="0"/>
        <v>0</v>
      </c>
      <c r="H37" s="28"/>
      <c r="I37" s="29"/>
    </row>
    <row r="38" spans="1:9" ht="18" customHeight="1" x14ac:dyDescent="0.25">
      <c r="A38" s="14"/>
      <c r="B38" s="8"/>
      <c r="C38" s="15"/>
      <c r="D38" s="10"/>
      <c r="E38" s="32"/>
      <c r="F38" s="27"/>
      <c r="G38" s="18">
        <f t="shared" si="0"/>
        <v>0</v>
      </c>
      <c r="H38" s="28"/>
      <c r="I38" s="29"/>
    </row>
    <row r="39" spans="1:9" ht="18" customHeight="1" x14ac:dyDescent="0.25">
      <c r="A39" s="14"/>
      <c r="B39" s="8"/>
      <c r="C39" s="15"/>
      <c r="D39" s="10"/>
      <c r="E39" s="32"/>
      <c r="F39" s="27"/>
      <c r="G39" s="18">
        <f t="shared" si="0"/>
        <v>0</v>
      </c>
      <c r="H39" s="28"/>
      <c r="I39" s="29"/>
    </row>
    <row r="40" spans="1:9" ht="18" customHeight="1" x14ac:dyDescent="0.25">
      <c r="A40" s="14"/>
      <c r="B40" s="8"/>
      <c r="C40" s="15"/>
      <c r="D40" s="10"/>
      <c r="E40" s="32"/>
      <c r="F40" s="27"/>
      <c r="G40" s="18">
        <f t="shared" si="0"/>
        <v>0</v>
      </c>
      <c r="H40" s="28"/>
      <c r="I40" s="29"/>
    </row>
    <row r="41" spans="1:9" ht="18" customHeight="1" x14ac:dyDescent="0.25">
      <c r="A41" s="14"/>
      <c r="B41" s="8"/>
      <c r="C41" s="15"/>
      <c r="D41" s="10"/>
      <c r="E41" s="32"/>
      <c r="F41" s="27"/>
      <c r="G41" s="18">
        <f t="shared" si="0"/>
        <v>0</v>
      </c>
      <c r="H41" s="28"/>
      <c r="I41" s="29"/>
    </row>
    <row r="42" spans="1:9" ht="18" customHeight="1" x14ac:dyDescent="0.25">
      <c r="A42" s="14">
        <f>+A36+1</f>
        <v>28</v>
      </c>
      <c r="B42" s="8"/>
      <c r="C42" s="15"/>
      <c r="D42" s="10"/>
      <c r="E42" s="32"/>
      <c r="F42" s="27"/>
      <c r="G42" s="18">
        <f t="shared" si="0"/>
        <v>0</v>
      </c>
      <c r="H42" s="28"/>
      <c r="I42" s="29"/>
    </row>
    <row r="43" spans="1:9" ht="18" customHeight="1" x14ac:dyDescent="0.25">
      <c r="A43" s="14">
        <f t="shared" si="1"/>
        <v>29</v>
      </c>
      <c r="B43" s="8"/>
      <c r="C43" s="15"/>
      <c r="D43" s="10"/>
      <c r="E43" s="32"/>
      <c r="F43" s="27"/>
      <c r="G43" s="18">
        <f t="shared" si="0"/>
        <v>0</v>
      </c>
      <c r="H43" s="28"/>
      <c r="I43" s="29"/>
    </row>
    <row r="44" spans="1:9" ht="18" customHeight="1" x14ac:dyDescent="0.25">
      <c r="A44" s="14">
        <f t="shared" si="1"/>
        <v>30</v>
      </c>
      <c r="B44" s="8"/>
      <c r="C44" s="15"/>
      <c r="D44" s="10"/>
      <c r="E44" s="32"/>
      <c r="F44" s="27"/>
      <c r="G44" s="18">
        <f t="shared" si="0"/>
        <v>0</v>
      </c>
      <c r="H44" s="28"/>
      <c r="I44" s="29"/>
    </row>
    <row r="45" spans="1:9" ht="18" customHeight="1" x14ac:dyDescent="0.25">
      <c r="A45" s="14">
        <f t="shared" si="1"/>
        <v>31</v>
      </c>
      <c r="B45" s="8"/>
      <c r="C45" s="15"/>
      <c r="D45" s="10"/>
      <c r="E45" s="32"/>
      <c r="F45" s="27"/>
      <c r="G45" s="18">
        <f t="shared" si="0"/>
        <v>0</v>
      </c>
      <c r="H45" s="28"/>
      <c r="I45" s="29"/>
    </row>
    <row r="46" spans="1:9" ht="18" customHeight="1" x14ac:dyDescent="0.25">
      <c r="A46" s="14">
        <f t="shared" si="1"/>
        <v>32</v>
      </c>
      <c r="B46" s="8"/>
      <c r="C46" s="15"/>
      <c r="D46" s="10"/>
      <c r="E46" s="32"/>
      <c r="F46" s="27"/>
      <c r="G46" s="18">
        <f t="shared" si="0"/>
        <v>0</v>
      </c>
      <c r="H46" s="28"/>
      <c r="I46" s="29"/>
    </row>
    <row r="47" spans="1:9" ht="15" customHeight="1" x14ac:dyDescent="0.25">
      <c r="A47" s="7"/>
      <c r="B47" s="33"/>
      <c r="C47" s="34" t="s">
        <v>13</v>
      </c>
      <c r="D47" s="7"/>
      <c r="E47" s="35">
        <f>SUM(E10:E46)</f>
        <v>39004</v>
      </c>
      <c r="F47" s="35">
        <f>SUM(F10:F46)</f>
        <v>39004</v>
      </c>
      <c r="G47" s="35">
        <f>+E47-F47+G9</f>
        <v>0</v>
      </c>
      <c r="H47" s="35"/>
      <c r="I47" s="36"/>
    </row>
    <row r="48" spans="1:9" ht="15" customHeight="1" x14ac:dyDescent="0.25">
      <c r="B48" s="1"/>
      <c r="E48" s="26"/>
      <c r="F48" s="26"/>
    </row>
    <row r="49" spans="2:2" ht="15" customHeight="1" x14ac:dyDescent="0.25">
      <c r="B49" s="1"/>
    </row>
    <row r="50" spans="2:2" ht="15" customHeight="1" x14ac:dyDescent="0.25">
      <c r="B50" s="1"/>
    </row>
    <row r="51" spans="2:2" ht="15" customHeight="1" x14ac:dyDescent="0.25">
      <c r="B51" s="1"/>
    </row>
    <row r="52" spans="2:2" ht="15" customHeight="1" x14ac:dyDescent="0.25">
      <c r="B52" s="1"/>
    </row>
    <row r="53" spans="2:2" ht="15" customHeight="1" x14ac:dyDescent="0.25">
      <c r="B53" s="1"/>
    </row>
    <row r="54" spans="2:2" ht="15" customHeight="1" x14ac:dyDescent="0.25"/>
    <row r="55" spans="2:2" ht="15" customHeight="1" x14ac:dyDescent="0.25"/>
    <row r="56" spans="2:2" ht="15" customHeight="1" x14ac:dyDescent="0.25"/>
    <row r="57" spans="2:2" ht="15" customHeight="1" x14ac:dyDescent="0.25"/>
    <row r="58" spans="2:2" ht="15" customHeight="1" x14ac:dyDescent="0.25"/>
    <row r="59" spans="2:2" ht="15" customHeight="1" x14ac:dyDescent="0.25"/>
    <row r="60" spans="2:2" ht="15" customHeight="1" x14ac:dyDescent="0.25"/>
    <row r="61" spans="2:2" ht="15" customHeight="1" x14ac:dyDescent="0.25"/>
    <row r="62" spans="2:2" ht="15" customHeight="1" x14ac:dyDescent="0.25"/>
    <row r="63" spans="2:2" ht="15" customHeight="1" x14ac:dyDescent="0.25"/>
    <row r="64" spans="2:2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</sheetData>
  <autoFilter ref="A8:I47" xr:uid="{00000000-0001-0000-0600-000000000000}"/>
  <mergeCells count="1">
    <mergeCell ref="A4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A5AC-E534-48A7-AD39-068B12801893}">
  <sheetPr codeName="Sheet9"/>
  <dimension ref="A1:P190"/>
  <sheetViews>
    <sheetView topLeftCell="A120" workbookViewId="0">
      <selection activeCell="F140" sqref="F140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5703125" customWidth="1"/>
    <col min="9" max="9" width="17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271" t="s">
        <v>2</v>
      </c>
      <c r="B4" s="271"/>
      <c r="C4" s="271"/>
      <c r="D4" s="271"/>
      <c r="E4" s="271"/>
      <c r="F4" s="271"/>
      <c r="G4" s="271"/>
      <c r="H4" s="271"/>
      <c r="I4" s="271"/>
    </row>
    <row r="5" spans="1:10" x14ac:dyDescent="0.25">
      <c r="A5" s="271"/>
      <c r="B5" s="271"/>
      <c r="C5" s="271"/>
      <c r="D5" s="271"/>
      <c r="E5" s="271"/>
      <c r="F5" s="271"/>
      <c r="G5" s="271"/>
      <c r="H5" s="271"/>
      <c r="I5" s="271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31</v>
      </c>
      <c r="D8" s="4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/>
      <c r="C9" s="9" t="s">
        <v>11</v>
      </c>
      <c r="D9" s="10"/>
      <c r="E9" s="11"/>
      <c r="F9" s="12"/>
      <c r="G9" s="51"/>
      <c r="H9" s="7"/>
      <c r="I9" s="7"/>
    </row>
    <row r="10" spans="1:10" ht="18" customHeight="1" x14ac:dyDescent="0.25">
      <c r="A10" s="14">
        <v>1</v>
      </c>
      <c r="B10" s="8">
        <v>45730</v>
      </c>
      <c r="C10" s="15" t="s">
        <v>85</v>
      </c>
      <c r="D10" s="10" t="s">
        <v>19</v>
      </c>
      <c r="E10" s="16">
        <v>7112</v>
      </c>
      <c r="F10" s="52"/>
      <c r="G10" s="18">
        <f t="shared" ref="G10:G148" si="0">+G9+E10-F10</f>
        <v>7112</v>
      </c>
      <c r="H10" s="18" t="s">
        <v>26</v>
      </c>
      <c r="I10" s="7" t="s">
        <v>51</v>
      </c>
      <c r="J10" s="26"/>
    </row>
    <row r="11" spans="1:10" ht="18" customHeight="1" x14ac:dyDescent="0.25">
      <c r="A11" s="14">
        <f t="shared" ref="A11:A148" si="1">+A10+1</f>
        <v>2</v>
      </c>
      <c r="B11" s="8">
        <v>45731</v>
      </c>
      <c r="C11" s="15"/>
      <c r="D11" s="10" t="s">
        <v>19</v>
      </c>
      <c r="E11" s="16"/>
      <c r="F11" s="52">
        <v>787</v>
      </c>
      <c r="G11" s="18">
        <f t="shared" si="0"/>
        <v>6325</v>
      </c>
      <c r="H11" s="18" t="s">
        <v>26</v>
      </c>
      <c r="I11" s="7" t="s">
        <v>53</v>
      </c>
    </row>
    <row r="12" spans="1:10" ht="18" customHeight="1" x14ac:dyDescent="0.25">
      <c r="A12" s="14">
        <f t="shared" si="1"/>
        <v>3</v>
      </c>
      <c r="B12" s="8">
        <v>45733</v>
      </c>
      <c r="C12" s="15"/>
      <c r="D12" s="10" t="s">
        <v>19</v>
      </c>
      <c r="E12" s="16"/>
      <c r="F12" s="53">
        <v>5329</v>
      </c>
      <c r="G12" s="18">
        <f t="shared" si="0"/>
        <v>996</v>
      </c>
      <c r="H12" s="18" t="s">
        <v>26</v>
      </c>
      <c r="I12" s="7" t="s">
        <v>25</v>
      </c>
    </row>
    <row r="13" spans="1:10" ht="18" customHeight="1" x14ac:dyDescent="0.25">
      <c r="A13" s="14">
        <f t="shared" si="1"/>
        <v>4</v>
      </c>
      <c r="B13" s="8">
        <v>45734</v>
      </c>
      <c r="C13" s="15"/>
      <c r="D13" s="10" t="s">
        <v>19</v>
      </c>
      <c r="E13" s="16"/>
      <c r="F13" s="53">
        <v>996</v>
      </c>
      <c r="G13" s="18">
        <f t="shared" si="0"/>
        <v>0</v>
      </c>
      <c r="H13" s="18" t="s">
        <v>26</v>
      </c>
      <c r="I13" s="7" t="s">
        <v>25</v>
      </c>
    </row>
    <row r="14" spans="1:10" ht="18" customHeight="1" x14ac:dyDescent="0.25">
      <c r="A14" s="14">
        <f t="shared" si="1"/>
        <v>5</v>
      </c>
      <c r="B14" s="8">
        <v>45735</v>
      </c>
      <c r="C14" s="15"/>
      <c r="D14" s="10" t="s">
        <v>19</v>
      </c>
      <c r="E14" s="16">
        <v>17954</v>
      </c>
      <c r="F14" s="53"/>
      <c r="G14" s="18">
        <f t="shared" si="0"/>
        <v>17954</v>
      </c>
      <c r="H14" s="18" t="s">
        <v>26</v>
      </c>
      <c r="I14" s="7" t="s">
        <v>25</v>
      </c>
    </row>
    <row r="15" spans="1:10" ht="18" customHeight="1" x14ac:dyDescent="0.25">
      <c r="A15" s="14">
        <f t="shared" si="1"/>
        <v>6</v>
      </c>
      <c r="B15" s="8">
        <v>45736</v>
      </c>
      <c r="C15" s="15"/>
      <c r="D15" s="10" t="s">
        <v>19</v>
      </c>
      <c r="E15" s="16">
        <v>18346</v>
      </c>
      <c r="F15" s="53"/>
      <c r="G15" s="18">
        <f t="shared" si="0"/>
        <v>36300</v>
      </c>
      <c r="H15" s="18" t="s">
        <v>26</v>
      </c>
      <c r="I15" s="7" t="s">
        <v>25</v>
      </c>
    </row>
    <row r="16" spans="1:10" ht="18" customHeight="1" x14ac:dyDescent="0.25">
      <c r="A16" s="14">
        <f t="shared" si="1"/>
        <v>7</v>
      </c>
      <c r="B16" s="8">
        <v>45737</v>
      </c>
      <c r="C16" s="15"/>
      <c r="D16" s="10" t="s">
        <v>19</v>
      </c>
      <c r="E16" s="16"/>
      <c r="F16" s="53">
        <v>3954</v>
      </c>
      <c r="G16" s="18">
        <f t="shared" si="0"/>
        <v>32346</v>
      </c>
      <c r="H16" s="28"/>
      <c r="I16" s="29"/>
      <c r="J16" s="26"/>
    </row>
    <row r="17" spans="1:13" ht="18" customHeight="1" x14ac:dyDescent="0.25">
      <c r="A17" s="14">
        <f t="shared" si="1"/>
        <v>8</v>
      </c>
      <c r="B17" s="8">
        <v>45738</v>
      </c>
      <c r="C17" s="15"/>
      <c r="D17" s="10" t="s">
        <v>19</v>
      </c>
      <c r="E17" s="16"/>
      <c r="F17" s="53">
        <v>2053</v>
      </c>
      <c r="G17" s="18">
        <f t="shared" si="0"/>
        <v>30293</v>
      </c>
      <c r="H17" s="28"/>
      <c r="I17" s="38"/>
    </row>
    <row r="18" spans="1:13" ht="18" customHeight="1" x14ac:dyDescent="0.25">
      <c r="A18" s="14">
        <f t="shared" si="1"/>
        <v>9</v>
      </c>
      <c r="B18" s="8">
        <v>45739</v>
      </c>
      <c r="C18" s="15"/>
      <c r="D18" s="10" t="s">
        <v>19</v>
      </c>
      <c r="E18" s="16"/>
      <c r="F18" s="53">
        <v>1082</v>
      </c>
      <c r="G18" s="18">
        <f t="shared" si="0"/>
        <v>29211</v>
      </c>
      <c r="H18" s="28"/>
      <c r="I18" s="38"/>
    </row>
    <row r="19" spans="1:13" ht="18" customHeight="1" x14ac:dyDescent="0.25">
      <c r="A19" s="14">
        <f t="shared" si="1"/>
        <v>10</v>
      </c>
      <c r="B19" s="44">
        <v>45740</v>
      </c>
      <c r="C19" s="15"/>
      <c r="D19" s="10" t="s">
        <v>19</v>
      </c>
      <c r="E19" s="16"/>
      <c r="F19" s="52">
        <v>2957</v>
      </c>
      <c r="G19" s="18">
        <f t="shared" si="0"/>
        <v>26254</v>
      </c>
      <c r="H19" s="28"/>
      <c r="I19" s="38"/>
    </row>
    <row r="20" spans="1:13" ht="18" customHeight="1" x14ac:dyDescent="0.25">
      <c r="A20" s="14">
        <f t="shared" si="1"/>
        <v>11</v>
      </c>
      <c r="B20" s="44">
        <v>45743</v>
      </c>
      <c r="C20" s="15"/>
      <c r="D20" s="10"/>
      <c r="E20" s="30"/>
      <c r="F20" s="52">
        <v>1951</v>
      </c>
      <c r="G20" s="18">
        <f t="shared" si="0"/>
        <v>24303</v>
      </c>
      <c r="H20" s="28"/>
      <c r="I20" s="38"/>
    </row>
    <row r="21" spans="1:13" ht="18" customHeight="1" x14ac:dyDescent="0.25">
      <c r="A21" s="14">
        <f t="shared" si="1"/>
        <v>12</v>
      </c>
      <c r="B21" s="8">
        <v>45744</v>
      </c>
      <c r="C21" s="15"/>
      <c r="D21" s="10"/>
      <c r="E21" s="16"/>
      <c r="F21" s="52">
        <v>3136</v>
      </c>
      <c r="G21" s="18">
        <f t="shared" si="0"/>
        <v>21167</v>
      </c>
      <c r="H21" s="28"/>
      <c r="I21" s="38"/>
    </row>
    <row r="22" spans="1:13" ht="18" customHeight="1" x14ac:dyDescent="0.25">
      <c r="A22" s="14">
        <f t="shared" si="1"/>
        <v>13</v>
      </c>
      <c r="B22" s="8">
        <v>45746</v>
      </c>
      <c r="C22" s="15"/>
      <c r="D22" s="10"/>
      <c r="E22" s="16"/>
      <c r="F22" s="52">
        <f>4812-1039</f>
        <v>3773</v>
      </c>
      <c r="G22" s="18">
        <f t="shared" si="0"/>
        <v>17394</v>
      </c>
      <c r="H22" s="28"/>
      <c r="I22" s="29"/>
    </row>
    <row r="23" spans="1:13" ht="18" customHeight="1" x14ac:dyDescent="0.25">
      <c r="A23" s="14">
        <f t="shared" si="1"/>
        <v>14</v>
      </c>
      <c r="B23" s="8">
        <v>45747</v>
      </c>
      <c r="C23" s="15"/>
      <c r="D23" s="10"/>
      <c r="E23" s="16"/>
      <c r="F23" s="52">
        <v>4877</v>
      </c>
      <c r="G23" s="18">
        <f t="shared" si="0"/>
        <v>12517</v>
      </c>
      <c r="H23" s="28"/>
      <c r="I23" s="29"/>
    </row>
    <row r="24" spans="1:13" s="223" customFormat="1" ht="18" customHeight="1" x14ac:dyDescent="0.25">
      <c r="A24" s="221">
        <f t="shared" si="1"/>
        <v>15</v>
      </c>
      <c r="B24" s="205">
        <v>45748</v>
      </c>
      <c r="C24" s="206"/>
      <c r="D24" s="207"/>
      <c r="E24" s="208">
        <f>931+995+946</f>
        <v>2872</v>
      </c>
      <c r="F24" s="52">
        <v>3979</v>
      </c>
      <c r="G24" s="203">
        <f t="shared" si="0"/>
        <v>11410</v>
      </c>
      <c r="H24" s="209"/>
      <c r="I24" s="206"/>
    </row>
    <row r="25" spans="1:13" s="223" customFormat="1" ht="18" customHeight="1" x14ac:dyDescent="0.25">
      <c r="A25" s="221">
        <f t="shared" si="1"/>
        <v>16</v>
      </c>
      <c r="B25" s="205">
        <v>45749</v>
      </c>
      <c r="C25" s="206"/>
      <c r="D25" s="207"/>
      <c r="E25" s="208"/>
      <c r="F25" s="52">
        <v>4935</v>
      </c>
      <c r="G25" s="203">
        <f t="shared" si="0"/>
        <v>6475</v>
      </c>
      <c r="H25" s="209"/>
      <c r="I25" s="206"/>
      <c r="L25" s="223">
        <f>37452+30895</f>
        <v>68347</v>
      </c>
    </row>
    <row r="26" spans="1:13" s="223" customFormat="1" ht="18" customHeight="1" x14ac:dyDescent="0.25">
      <c r="A26" s="221">
        <f t="shared" si="1"/>
        <v>17</v>
      </c>
      <c r="B26" s="205">
        <v>45750</v>
      </c>
      <c r="C26" s="206"/>
      <c r="D26" s="207"/>
      <c r="E26" s="208"/>
      <c r="F26" s="52">
        <v>931</v>
      </c>
      <c r="G26" s="203">
        <f t="shared" si="0"/>
        <v>5544</v>
      </c>
      <c r="H26" s="209"/>
      <c r="I26" s="206"/>
    </row>
    <row r="27" spans="1:13" s="223" customFormat="1" ht="18" customHeight="1" x14ac:dyDescent="0.25">
      <c r="A27" s="221">
        <f t="shared" si="1"/>
        <v>18</v>
      </c>
      <c r="B27" s="205">
        <v>45751</v>
      </c>
      <c r="C27" s="206"/>
      <c r="D27" s="207"/>
      <c r="E27" s="208"/>
      <c r="F27" s="52">
        <v>4602</v>
      </c>
      <c r="G27" s="203">
        <f t="shared" si="0"/>
        <v>942</v>
      </c>
      <c r="H27" s="209"/>
      <c r="I27" s="206"/>
      <c r="M27" s="223">
        <f>38246+30895</f>
        <v>69141</v>
      </c>
    </row>
    <row r="28" spans="1:13" s="223" customFormat="1" ht="18" customHeight="1" x14ac:dyDescent="0.25">
      <c r="A28" s="221">
        <f t="shared" si="1"/>
        <v>19</v>
      </c>
      <c r="B28" s="205">
        <v>45752</v>
      </c>
      <c r="C28" s="206"/>
      <c r="D28" s="207"/>
      <c r="E28" s="208"/>
      <c r="F28" s="52">
        <v>942</v>
      </c>
      <c r="G28" s="203">
        <f t="shared" si="0"/>
        <v>0</v>
      </c>
      <c r="H28" s="209" t="s">
        <v>109</v>
      </c>
      <c r="I28" s="206">
        <v>995</v>
      </c>
      <c r="J28" s="223">
        <f>995-942</f>
        <v>53</v>
      </c>
    </row>
    <row r="29" spans="1:13" s="223" customFormat="1" ht="18" customHeight="1" x14ac:dyDescent="0.25">
      <c r="A29" s="221">
        <f t="shared" si="1"/>
        <v>20</v>
      </c>
      <c r="B29" s="205">
        <v>45758</v>
      </c>
      <c r="C29" s="206"/>
      <c r="D29" s="207"/>
      <c r="E29" s="208">
        <v>8639</v>
      </c>
      <c r="F29" s="52"/>
      <c r="G29" s="203">
        <f t="shared" si="0"/>
        <v>8639</v>
      </c>
      <c r="H29" s="209"/>
      <c r="I29" s="206"/>
    </row>
    <row r="30" spans="1:13" s="223" customFormat="1" ht="18" customHeight="1" x14ac:dyDescent="0.25">
      <c r="A30" s="221">
        <f t="shared" si="1"/>
        <v>21</v>
      </c>
      <c r="B30" s="205">
        <v>45761</v>
      </c>
      <c r="C30" s="206"/>
      <c r="D30" s="207"/>
      <c r="E30" s="208">
        <v>13310</v>
      </c>
      <c r="F30" s="52"/>
      <c r="G30" s="203">
        <f t="shared" si="0"/>
        <v>21949</v>
      </c>
      <c r="H30" s="209"/>
      <c r="I30" s="206"/>
    </row>
    <row r="31" spans="1:13" s="223" customFormat="1" ht="18" customHeight="1" x14ac:dyDescent="0.25">
      <c r="A31" s="221">
        <f t="shared" si="1"/>
        <v>22</v>
      </c>
      <c r="B31" s="205">
        <v>45762</v>
      </c>
      <c r="C31" s="206"/>
      <c r="D31" s="207"/>
      <c r="E31" s="208"/>
      <c r="F31" s="52">
        <v>931</v>
      </c>
      <c r="G31" s="203">
        <f t="shared" si="0"/>
        <v>21018</v>
      </c>
      <c r="H31" s="209"/>
      <c r="I31" s="206"/>
    </row>
    <row r="32" spans="1:13" s="223" customFormat="1" ht="18" customHeight="1" x14ac:dyDescent="0.25">
      <c r="A32" s="221">
        <f t="shared" si="1"/>
        <v>23</v>
      </c>
      <c r="B32" s="205">
        <v>45763</v>
      </c>
      <c r="C32" s="206"/>
      <c r="D32" s="207"/>
      <c r="E32" s="208"/>
      <c r="F32" s="52">
        <v>3781</v>
      </c>
      <c r="G32" s="203">
        <f t="shared" si="0"/>
        <v>17237</v>
      </c>
      <c r="H32" s="209"/>
      <c r="I32" s="206"/>
    </row>
    <row r="33" spans="1:9" s="223" customFormat="1" ht="18" customHeight="1" x14ac:dyDescent="0.25">
      <c r="A33" s="221">
        <f t="shared" si="1"/>
        <v>24</v>
      </c>
      <c r="B33" s="205">
        <v>45764</v>
      </c>
      <c r="C33" s="206"/>
      <c r="D33" s="207"/>
      <c r="E33" s="208"/>
      <c r="F33" s="52">
        <v>3863</v>
      </c>
      <c r="G33" s="203">
        <f t="shared" si="0"/>
        <v>13374</v>
      </c>
      <c r="H33" s="209"/>
      <c r="I33" s="206"/>
    </row>
    <row r="34" spans="1:9" s="223" customFormat="1" ht="18" customHeight="1" x14ac:dyDescent="0.25">
      <c r="A34" s="221">
        <f t="shared" si="1"/>
        <v>25</v>
      </c>
      <c r="B34" s="205">
        <v>45765</v>
      </c>
      <c r="C34" s="206"/>
      <c r="D34" s="207"/>
      <c r="E34" s="208"/>
      <c r="F34" s="52">
        <v>3790</v>
      </c>
      <c r="G34" s="203">
        <f t="shared" si="0"/>
        <v>9584</v>
      </c>
      <c r="H34" s="209"/>
      <c r="I34" s="206"/>
    </row>
    <row r="35" spans="1:9" s="223" customFormat="1" ht="18" customHeight="1" x14ac:dyDescent="0.25">
      <c r="A35" s="221">
        <f t="shared" si="1"/>
        <v>26</v>
      </c>
      <c r="B35" s="205">
        <v>45766</v>
      </c>
      <c r="C35" s="206"/>
      <c r="D35" s="207"/>
      <c r="E35" s="208"/>
      <c r="F35" s="52">
        <v>3705</v>
      </c>
      <c r="G35" s="203">
        <f t="shared" si="0"/>
        <v>5879</v>
      </c>
      <c r="H35" s="209"/>
      <c r="I35" s="206"/>
    </row>
    <row r="36" spans="1:9" s="223" customFormat="1" ht="18" customHeight="1" x14ac:dyDescent="0.25">
      <c r="A36" s="221">
        <f t="shared" si="1"/>
        <v>27</v>
      </c>
      <c r="B36" s="205">
        <v>45768</v>
      </c>
      <c r="C36" s="206"/>
      <c r="D36" s="207"/>
      <c r="E36" s="208"/>
      <c r="F36" s="52">
        <v>2952</v>
      </c>
      <c r="G36" s="203">
        <f t="shared" si="0"/>
        <v>2927</v>
      </c>
      <c r="H36" s="209"/>
      <c r="I36" s="206"/>
    </row>
    <row r="37" spans="1:9" s="223" customFormat="1" ht="18" customHeight="1" x14ac:dyDescent="0.25">
      <c r="A37" s="221">
        <f t="shared" si="1"/>
        <v>28</v>
      </c>
      <c r="B37" s="205">
        <v>45769</v>
      </c>
      <c r="C37" s="206"/>
      <c r="D37" s="207"/>
      <c r="E37" s="208"/>
      <c r="F37" s="52">
        <v>1894</v>
      </c>
      <c r="G37" s="203">
        <f t="shared" si="0"/>
        <v>1033</v>
      </c>
      <c r="H37" s="209"/>
      <c r="I37" s="206"/>
    </row>
    <row r="38" spans="1:9" ht="18" customHeight="1" x14ac:dyDescent="0.25">
      <c r="A38" s="221">
        <f t="shared" si="1"/>
        <v>29</v>
      </c>
      <c r="B38" s="8">
        <v>45787</v>
      </c>
      <c r="C38" s="15"/>
      <c r="D38" s="10"/>
      <c r="E38" s="32"/>
      <c r="F38" s="27"/>
      <c r="G38" s="18">
        <f t="shared" si="0"/>
        <v>1033</v>
      </c>
      <c r="H38" s="28"/>
      <c r="I38" s="29"/>
    </row>
    <row r="39" spans="1:9" ht="18" customHeight="1" x14ac:dyDescent="0.25">
      <c r="A39" s="221">
        <f t="shared" si="1"/>
        <v>30</v>
      </c>
      <c r="B39" s="8">
        <v>45786</v>
      </c>
      <c r="C39" s="15"/>
      <c r="D39" s="10"/>
      <c r="E39" s="32">
        <v>18512</v>
      </c>
      <c r="F39" s="27"/>
      <c r="G39" s="18">
        <f t="shared" si="0"/>
        <v>19545</v>
      </c>
      <c r="H39" s="28"/>
      <c r="I39" s="29"/>
    </row>
    <row r="40" spans="1:9" ht="18" customHeight="1" x14ac:dyDescent="0.25">
      <c r="A40" s="221">
        <f t="shared" si="1"/>
        <v>31</v>
      </c>
      <c r="B40" s="8">
        <v>45787</v>
      </c>
      <c r="C40" s="15"/>
      <c r="D40" s="10"/>
      <c r="E40" s="32"/>
      <c r="F40" s="27">
        <v>1945</v>
      </c>
      <c r="G40" s="18">
        <f t="shared" si="0"/>
        <v>17600</v>
      </c>
      <c r="H40" s="28"/>
      <c r="I40" s="29"/>
    </row>
    <row r="41" spans="1:9" ht="18" customHeight="1" x14ac:dyDescent="0.25">
      <c r="A41" s="221">
        <f t="shared" si="1"/>
        <v>32</v>
      </c>
      <c r="B41" s="8">
        <v>45789</v>
      </c>
      <c r="C41" s="15"/>
      <c r="D41" s="10"/>
      <c r="E41" s="32"/>
      <c r="F41" s="27">
        <v>1007</v>
      </c>
      <c r="G41" s="18">
        <f t="shared" si="0"/>
        <v>16593</v>
      </c>
      <c r="H41" s="28"/>
      <c r="I41" s="29"/>
    </row>
    <row r="42" spans="1:9" ht="18" customHeight="1" x14ac:dyDescent="0.25">
      <c r="A42" s="221">
        <f t="shared" si="1"/>
        <v>33</v>
      </c>
      <c r="B42" s="8">
        <v>45792</v>
      </c>
      <c r="C42" s="15"/>
      <c r="D42" s="10"/>
      <c r="E42" s="32"/>
      <c r="F42" s="27">
        <v>995</v>
      </c>
      <c r="G42" s="18">
        <f t="shared" si="0"/>
        <v>15598</v>
      </c>
      <c r="H42" s="28"/>
      <c r="I42" s="29"/>
    </row>
    <row r="43" spans="1:9" ht="18" customHeight="1" x14ac:dyDescent="0.25">
      <c r="A43" s="221">
        <f t="shared" si="1"/>
        <v>34</v>
      </c>
      <c r="B43" s="8">
        <v>45794</v>
      </c>
      <c r="C43" s="15"/>
      <c r="D43" s="10"/>
      <c r="E43" s="32"/>
      <c r="F43" s="27">
        <v>981</v>
      </c>
      <c r="G43" s="18">
        <f t="shared" si="0"/>
        <v>14617</v>
      </c>
      <c r="H43" s="28"/>
      <c r="I43" s="29"/>
    </row>
    <row r="44" spans="1:9" ht="18" customHeight="1" x14ac:dyDescent="0.25">
      <c r="A44" s="221">
        <f t="shared" si="1"/>
        <v>35</v>
      </c>
      <c r="B44" s="8">
        <v>45796</v>
      </c>
      <c r="C44" s="15"/>
      <c r="D44" s="10"/>
      <c r="E44" s="32"/>
      <c r="F44" s="27">
        <v>3913</v>
      </c>
      <c r="G44" s="18">
        <f t="shared" si="0"/>
        <v>10704</v>
      </c>
      <c r="H44" s="28"/>
      <c r="I44" s="29"/>
    </row>
    <row r="45" spans="1:9" s="181" customFormat="1" ht="18" customHeight="1" x14ac:dyDescent="0.25">
      <c r="A45" s="221">
        <f t="shared" si="1"/>
        <v>36</v>
      </c>
      <c r="B45" s="107">
        <v>45797</v>
      </c>
      <c r="C45" s="171"/>
      <c r="D45" s="159"/>
      <c r="E45" s="108"/>
      <c r="F45" s="31">
        <v>1791</v>
      </c>
      <c r="G45" s="110">
        <f t="shared" si="0"/>
        <v>8913</v>
      </c>
      <c r="H45" s="198"/>
      <c r="I45" s="171"/>
    </row>
    <row r="46" spans="1:9" ht="18" customHeight="1" x14ac:dyDescent="0.25">
      <c r="A46" s="221">
        <f t="shared" si="1"/>
        <v>37</v>
      </c>
      <c r="B46" s="8">
        <v>45798</v>
      </c>
      <c r="C46" s="15"/>
      <c r="D46" s="10"/>
      <c r="E46" s="32"/>
      <c r="F46" s="27">
        <v>3919</v>
      </c>
      <c r="G46" s="18">
        <f t="shared" si="0"/>
        <v>4994</v>
      </c>
      <c r="H46" s="28"/>
      <c r="I46" s="29"/>
    </row>
    <row r="47" spans="1:9" ht="18" customHeight="1" x14ac:dyDescent="0.25">
      <c r="A47" s="221">
        <f t="shared" si="1"/>
        <v>38</v>
      </c>
      <c r="B47" s="8">
        <v>45799</v>
      </c>
      <c r="C47" s="15"/>
      <c r="D47" s="10"/>
      <c r="E47" s="32">
        <v>21736</v>
      </c>
      <c r="F47" s="27">
        <v>3961</v>
      </c>
      <c r="G47" s="18">
        <f t="shared" si="0"/>
        <v>22769</v>
      </c>
      <c r="H47" s="28"/>
      <c r="I47" s="29" t="s">
        <v>105</v>
      </c>
    </row>
    <row r="48" spans="1:9" ht="18" customHeight="1" x14ac:dyDescent="0.25">
      <c r="A48" s="221">
        <f t="shared" si="1"/>
        <v>39</v>
      </c>
      <c r="B48" s="8">
        <v>45800</v>
      </c>
      <c r="C48" s="15"/>
      <c r="D48" s="10"/>
      <c r="E48" s="32"/>
      <c r="F48" s="27">
        <v>1040</v>
      </c>
      <c r="G48" s="18">
        <f t="shared" si="0"/>
        <v>21729</v>
      </c>
      <c r="H48" s="28"/>
      <c r="I48" s="29"/>
    </row>
    <row r="49" spans="1:12" ht="18" customHeight="1" x14ac:dyDescent="0.25">
      <c r="A49" s="221">
        <f t="shared" si="1"/>
        <v>40</v>
      </c>
      <c r="B49" s="8">
        <v>45801</v>
      </c>
      <c r="C49" s="15"/>
      <c r="D49" s="10"/>
      <c r="E49" s="32"/>
      <c r="F49" s="27">
        <v>3770</v>
      </c>
      <c r="G49" s="18">
        <f t="shared" si="0"/>
        <v>17959</v>
      </c>
      <c r="H49" s="28"/>
      <c r="I49" s="29"/>
    </row>
    <row r="50" spans="1:12" ht="18" customHeight="1" x14ac:dyDescent="0.25">
      <c r="A50" s="221">
        <f t="shared" si="1"/>
        <v>41</v>
      </c>
      <c r="B50" s="8">
        <v>45803</v>
      </c>
      <c r="C50" s="15"/>
      <c r="D50" s="10"/>
      <c r="E50" s="32"/>
      <c r="F50" s="27">
        <v>3145</v>
      </c>
      <c r="G50" s="18">
        <f t="shared" si="0"/>
        <v>14814</v>
      </c>
      <c r="H50" s="28"/>
      <c r="I50" s="29"/>
    </row>
    <row r="51" spans="1:12" ht="18" customHeight="1" x14ac:dyDescent="0.25">
      <c r="A51" s="221">
        <f t="shared" si="1"/>
        <v>42</v>
      </c>
      <c r="B51" s="8">
        <v>45804</v>
      </c>
      <c r="C51" s="15"/>
      <c r="D51" s="10"/>
      <c r="E51" s="32"/>
      <c r="F51" s="27">
        <v>3978</v>
      </c>
      <c r="G51" s="18">
        <f t="shared" si="0"/>
        <v>10836</v>
      </c>
      <c r="H51" s="28"/>
      <c r="I51" s="29"/>
    </row>
    <row r="52" spans="1:12" ht="18" customHeight="1" x14ac:dyDescent="0.25">
      <c r="A52" s="221">
        <f t="shared" si="1"/>
        <v>43</v>
      </c>
      <c r="B52" s="8">
        <v>45805</v>
      </c>
      <c r="C52" s="15"/>
      <c r="D52" s="10"/>
      <c r="E52" s="32"/>
      <c r="F52" s="27">
        <v>4048</v>
      </c>
      <c r="G52" s="18">
        <f t="shared" si="0"/>
        <v>6788</v>
      </c>
      <c r="H52" s="28"/>
      <c r="I52" s="29"/>
    </row>
    <row r="53" spans="1:12" ht="18" customHeight="1" x14ac:dyDescent="0.25">
      <c r="A53" s="221">
        <f t="shared" si="1"/>
        <v>44</v>
      </c>
      <c r="B53" s="8">
        <v>45806</v>
      </c>
      <c r="C53" s="15"/>
      <c r="D53" s="10"/>
      <c r="E53" s="32"/>
      <c r="F53" s="27">
        <v>3739</v>
      </c>
      <c r="G53" s="18">
        <f t="shared" si="0"/>
        <v>3049</v>
      </c>
      <c r="H53" s="28"/>
      <c r="I53" s="29"/>
      <c r="L53">
        <v>3049</v>
      </c>
    </row>
    <row r="54" spans="1:12" ht="18" customHeight="1" x14ac:dyDescent="0.25">
      <c r="A54" s="221">
        <f t="shared" si="1"/>
        <v>45</v>
      </c>
      <c r="B54" s="8">
        <v>45807</v>
      </c>
      <c r="C54" s="15"/>
      <c r="D54" s="10"/>
      <c r="E54" s="32"/>
      <c r="F54" s="27">
        <v>3049</v>
      </c>
      <c r="G54" s="18">
        <f t="shared" si="0"/>
        <v>0</v>
      </c>
      <c r="H54" s="28" t="s">
        <v>110</v>
      </c>
      <c r="I54" s="29">
        <v>3056</v>
      </c>
      <c r="J54">
        <f>3056-3049</f>
        <v>7</v>
      </c>
    </row>
    <row r="55" spans="1:12" s="181" customFormat="1" ht="18" customHeight="1" x14ac:dyDescent="0.25">
      <c r="A55" s="221">
        <f t="shared" si="1"/>
        <v>46</v>
      </c>
      <c r="B55" s="107"/>
      <c r="C55" s="171"/>
      <c r="D55" s="159"/>
      <c r="E55" s="108"/>
      <c r="F55" s="31"/>
      <c r="G55" s="110">
        <f t="shared" si="0"/>
        <v>0</v>
      </c>
      <c r="H55" s="198"/>
      <c r="I55" s="171"/>
    </row>
    <row r="56" spans="1:12" ht="18" customHeight="1" x14ac:dyDescent="0.25">
      <c r="A56" s="221">
        <f t="shared" si="1"/>
        <v>47</v>
      </c>
      <c r="B56" s="8">
        <v>45810</v>
      </c>
      <c r="C56" s="15"/>
      <c r="D56" s="10"/>
      <c r="E56" s="32">
        <v>18463</v>
      </c>
      <c r="F56" s="27"/>
      <c r="G56" s="18">
        <f t="shared" si="0"/>
        <v>18463</v>
      </c>
      <c r="H56" s="28"/>
      <c r="I56" s="29"/>
      <c r="J56" t="s">
        <v>112</v>
      </c>
    </row>
    <row r="57" spans="1:12" ht="18" customHeight="1" x14ac:dyDescent="0.25">
      <c r="A57" s="221">
        <f t="shared" si="1"/>
        <v>48</v>
      </c>
      <c r="B57" s="8">
        <v>45810</v>
      </c>
      <c r="C57" s="15"/>
      <c r="D57" s="10"/>
      <c r="E57" s="32"/>
      <c r="F57" s="236">
        <v>100.2</v>
      </c>
      <c r="G57" s="237">
        <f t="shared" si="0"/>
        <v>18362.8</v>
      </c>
      <c r="H57" s="238"/>
      <c r="I57" s="235"/>
      <c r="J57" s="239" t="s">
        <v>128</v>
      </c>
      <c r="K57" s="239"/>
      <c r="L57" s="239"/>
    </row>
    <row r="58" spans="1:12" ht="18" customHeight="1" x14ac:dyDescent="0.25">
      <c r="A58" s="221">
        <f t="shared" si="1"/>
        <v>49</v>
      </c>
      <c r="B58" s="8">
        <v>45811</v>
      </c>
      <c r="C58" s="15"/>
      <c r="D58" s="10"/>
      <c r="E58" s="32"/>
      <c r="F58" s="27">
        <v>3838</v>
      </c>
      <c r="G58" s="18">
        <f t="shared" si="0"/>
        <v>14524.8</v>
      </c>
      <c r="H58" s="28"/>
      <c r="I58" s="29"/>
    </row>
    <row r="59" spans="1:12" ht="18" customHeight="1" x14ac:dyDescent="0.25">
      <c r="A59" s="221">
        <f t="shared" si="1"/>
        <v>50</v>
      </c>
      <c r="B59" s="8">
        <v>45812</v>
      </c>
      <c r="C59" s="15"/>
      <c r="D59" s="10"/>
      <c r="E59" s="32"/>
      <c r="F59" s="27">
        <v>972</v>
      </c>
      <c r="G59" s="18">
        <f t="shared" si="0"/>
        <v>13552.8</v>
      </c>
      <c r="H59" s="28"/>
      <c r="I59" s="29"/>
    </row>
    <row r="60" spans="1:12" ht="18" customHeight="1" x14ac:dyDescent="0.25">
      <c r="A60" s="221">
        <f t="shared" si="1"/>
        <v>51</v>
      </c>
      <c r="B60" s="8">
        <v>45813</v>
      </c>
      <c r="C60" s="15"/>
      <c r="D60" s="10"/>
      <c r="E60" s="32"/>
      <c r="F60" s="27">
        <v>4915</v>
      </c>
      <c r="G60" s="18">
        <f t="shared" si="0"/>
        <v>8637.7999999999993</v>
      </c>
      <c r="H60" s="28"/>
      <c r="I60" s="29"/>
      <c r="L60">
        <f>30649+7</f>
        <v>30656</v>
      </c>
    </row>
    <row r="61" spans="1:12" ht="18" customHeight="1" x14ac:dyDescent="0.25">
      <c r="A61" s="221">
        <f t="shared" si="1"/>
        <v>52</v>
      </c>
      <c r="B61" s="8">
        <v>45814</v>
      </c>
      <c r="C61" s="15"/>
      <c r="D61" s="10"/>
      <c r="E61" s="32"/>
      <c r="F61" s="27">
        <v>3849</v>
      </c>
      <c r="G61" s="18">
        <f t="shared" si="0"/>
        <v>4788.7999999999993</v>
      </c>
      <c r="H61" s="28"/>
      <c r="I61" s="29"/>
    </row>
    <row r="62" spans="1:12" ht="18" customHeight="1" x14ac:dyDescent="0.25">
      <c r="A62" s="221">
        <f t="shared" si="1"/>
        <v>53</v>
      </c>
      <c r="B62" s="8">
        <v>45815</v>
      </c>
      <c r="C62" s="15"/>
      <c r="D62" s="10"/>
      <c r="E62" s="32">
        <v>18747</v>
      </c>
      <c r="F62" s="27"/>
      <c r="G62" s="18">
        <f t="shared" si="0"/>
        <v>23535.8</v>
      </c>
      <c r="H62" s="28"/>
      <c r="I62" s="29"/>
    </row>
    <row r="63" spans="1:12" ht="18" customHeight="1" x14ac:dyDescent="0.25">
      <c r="A63" s="221">
        <f t="shared" si="1"/>
        <v>54</v>
      </c>
      <c r="B63" s="8">
        <v>45817</v>
      </c>
      <c r="C63" s="15"/>
      <c r="D63" s="10"/>
      <c r="E63" s="32"/>
      <c r="F63" s="27">
        <v>992</v>
      </c>
      <c r="G63" s="18">
        <f t="shared" si="0"/>
        <v>22543.8</v>
      </c>
      <c r="H63" s="28"/>
      <c r="I63" s="29"/>
      <c r="J63" t="s">
        <v>129</v>
      </c>
    </row>
    <row r="64" spans="1:12" ht="18" customHeight="1" x14ac:dyDescent="0.25">
      <c r="A64" s="221">
        <f t="shared" si="1"/>
        <v>55</v>
      </c>
      <c r="B64" s="8">
        <v>45819</v>
      </c>
      <c r="C64" s="15"/>
      <c r="D64" s="10"/>
      <c r="E64" s="32"/>
      <c r="F64" s="27">
        <v>2939</v>
      </c>
      <c r="G64" s="18">
        <f t="shared" si="0"/>
        <v>19604.8</v>
      </c>
      <c r="H64" s="28"/>
      <c r="I64" s="29"/>
    </row>
    <row r="65" spans="1:15" ht="18" customHeight="1" x14ac:dyDescent="0.25">
      <c r="A65" s="221">
        <f t="shared" si="1"/>
        <v>56</v>
      </c>
      <c r="B65" s="8">
        <v>45820</v>
      </c>
      <c r="C65" s="15"/>
      <c r="D65" s="10"/>
      <c r="E65" s="32"/>
      <c r="F65" s="27">
        <v>4837</v>
      </c>
      <c r="G65" s="18">
        <f t="shared" si="0"/>
        <v>14767.8</v>
      </c>
      <c r="H65" s="28"/>
      <c r="I65" s="29"/>
    </row>
    <row r="66" spans="1:15" ht="18" customHeight="1" x14ac:dyDescent="0.25">
      <c r="A66" s="221">
        <f t="shared" si="1"/>
        <v>57</v>
      </c>
      <c r="B66" s="8">
        <v>45821</v>
      </c>
      <c r="C66" s="15"/>
      <c r="D66" s="10"/>
      <c r="E66" s="32"/>
      <c r="F66" s="27">
        <v>3978</v>
      </c>
      <c r="G66" s="18">
        <f t="shared" si="0"/>
        <v>10789.8</v>
      </c>
      <c r="H66" s="28"/>
      <c r="I66" s="29"/>
    </row>
    <row r="67" spans="1:15" ht="18" customHeight="1" x14ac:dyDescent="0.25">
      <c r="A67" s="221">
        <f t="shared" si="1"/>
        <v>58</v>
      </c>
      <c r="B67" s="8">
        <v>45822</v>
      </c>
      <c r="C67" s="15"/>
      <c r="D67" s="10"/>
      <c r="E67" s="32">
        <v>19337</v>
      </c>
      <c r="F67" s="27"/>
      <c r="G67" s="18">
        <f t="shared" si="0"/>
        <v>30126.799999999999</v>
      </c>
      <c r="H67" s="28"/>
      <c r="I67" s="29"/>
    </row>
    <row r="68" spans="1:15" ht="18" customHeight="1" x14ac:dyDescent="0.25">
      <c r="A68" s="221">
        <f t="shared" si="1"/>
        <v>59</v>
      </c>
      <c r="B68" s="8">
        <v>45822</v>
      </c>
      <c r="C68" s="15"/>
      <c r="D68" s="10"/>
      <c r="E68" s="32"/>
      <c r="F68" s="27">
        <v>4035</v>
      </c>
      <c r="G68" s="18">
        <f t="shared" si="0"/>
        <v>26091.8</v>
      </c>
      <c r="H68" s="28"/>
      <c r="I68" s="29"/>
    </row>
    <row r="69" spans="1:15" ht="18" customHeight="1" x14ac:dyDescent="0.25">
      <c r="A69" s="221">
        <f t="shared" si="1"/>
        <v>60</v>
      </c>
      <c r="B69" s="8">
        <v>45824</v>
      </c>
      <c r="C69" s="15"/>
      <c r="D69" s="10"/>
      <c r="E69" s="32"/>
      <c r="F69" s="180">
        <v>1982</v>
      </c>
      <c r="G69" s="110">
        <f t="shared" si="0"/>
        <v>24109.8</v>
      </c>
      <c r="H69" s="269" t="s">
        <v>115</v>
      </c>
      <c r="I69" s="29"/>
    </row>
    <row r="70" spans="1:15" ht="18" customHeight="1" x14ac:dyDescent="0.25">
      <c r="A70" s="221">
        <f t="shared" si="1"/>
        <v>61</v>
      </c>
      <c r="B70" s="8">
        <v>45825</v>
      </c>
      <c r="C70" s="15"/>
      <c r="D70" s="10"/>
      <c r="E70" s="32"/>
      <c r="F70" s="27">
        <v>990</v>
      </c>
      <c r="G70" s="18">
        <f t="shared" si="0"/>
        <v>23119.8</v>
      </c>
      <c r="H70" s="28"/>
      <c r="I70" s="29"/>
    </row>
    <row r="71" spans="1:15" ht="18" customHeight="1" x14ac:dyDescent="0.25">
      <c r="A71" s="221">
        <f t="shared" si="1"/>
        <v>62</v>
      </c>
      <c r="B71" s="8">
        <v>45826</v>
      </c>
      <c r="C71" s="15"/>
      <c r="D71" s="10"/>
      <c r="E71" s="32"/>
      <c r="F71" s="27">
        <v>4940</v>
      </c>
      <c r="G71" s="18">
        <f t="shared" si="0"/>
        <v>18179.8</v>
      </c>
      <c r="H71" s="28"/>
      <c r="I71" s="29"/>
    </row>
    <row r="72" spans="1:15" ht="18" customHeight="1" x14ac:dyDescent="0.25">
      <c r="A72" s="221">
        <f t="shared" si="1"/>
        <v>63</v>
      </c>
      <c r="B72" s="8">
        <v>45827</v>
      </c>
      <c r="C72" s="15"/>
      <c r="D72" s="10"/>
      <c r="E72" s="32"/>
      <c r="F72" s="27">
        <v>4104</v>
      </c>
      <c r="G72" s="18">
        <f t="shared" si="0"/>
        <v>14075.8</v>
      </c>
      <c r="H72" s="28"/>
      <c r="I72" s="29"/>
    </row>
    <row r="73" spans="1:15" ht="18" customHeight="1" x14ac:dyDescent="0.25">
      <c r="A73" s="221">
        <f t="shared" si="1"/>
        <v>64</v>
      </c>
      <c r="B73" s="8">
        <v>45828</v>
      </c>
      <c r="C73" s="15"/>
      <c r="D73" s="10"/>
      <c r="E73" s="32"/>
      <c r="F73" s="27">
        <v>1905</v>
      </c>
      <c r="G73" s="18">
        <f t="shared" si="0"/>
        <v>12170.8</v>
      </c>
      <c r="H73" s="28"/>
      <c r="I73" s="29"/>
    </row>
    <row r="74" spans="1:15" ht="18" customHeight="1" x14ac:dyDescent="0.25">
      <c r="A74" s="221">
        <f t="shared" si="1"/>
        <v>65</v>
      </c>
      <c r="B74" s="8">
        <v>45829</v>
      </c>
      <c r="C74" s="15"/>
      <c r="D74" s="10"/>
      <c r="E74" s="32"/>
      <c r="F74" s="27">
        <v>3068</v>
      </c>
      <c r="G74" s="18">
        <f t="shared" si="0"/>
        <v>9102.7999999999993</v>
      </c>
      <c r="H74" s="28"/>
      <c r="I74" s="29"/>
    </row>
    <row r="75" spans="1:15" ht="18" customHeight="1" x14ac:dyDescent="0.25">
      <c r="A75" s="221">
        <f t="shared" si="1"/>
        <v>66</v>
      </c>
      <c r="B75" s="8">
        <v>45833</v>
      </c>
      <c r="C75" s="15"/>
      <c r="D75" s="10"/>
      <c r="E75" s="32"/>
      <c r="F75" s="27">
        <v>4216</v>
      </c>
      <c r="G75" s="18">
        <f t="shared" si="0"/>
        <v>4886.7999999999993</v>
      </c>
      <c r="H75" s="28"/>
      <c r="I75" s="29"/>
    </row>
    <row r="76" spans="1:15" ht="18" customHeight="1" x14ac:dyDescent="0.25">
      <c r="A76" s="265">
        <f t="shared" si="1"/>
        <v>67</v>
      </c>
      <c r="B76" s="266">
        <v>45834</v>
      </c>
      <c r="C76" s="235"/>
      <c r="D76" s="267"/>
      <c r="E76" s="268">
        <v>18499</v>
      </c>
      <c r="F76" s="236"/>
      <c r="G76" s="237">
        <f t="shared" si="0"/>
        <v>23385.8</v>
      </c>
      <c r="H76" s="238"/>
      <c r="I76" s="235"/>
      <c r="J76" s="239" t="s">
        <v>150</v>
      </c>
      <c r="K76" s="239"/>
      <c r="L76" s="239"/>
      <c r="M76" s="239"/>
      <c r="N76" s="239"/>
      <c r="O76" s="239"/>
    </row>
    <row r="77" spans="1:15" ht="18" customHeight="1" x14ac:dyDescent="0.25">
      <c r="A77" s="221">
        <f t="shared" si="1"/>
        <v>68</v>
      </c>
      <c r="B77" s="8">
        <v>45836</v>
      </c>
      <c r="C77" s="15"/>
      <c r="D77" s="10"/>
      <c r="E77" s="32"/>
      <c r="F77" s="27">
        <v>3122</v>
      </c>
      <c r="G77" s="18">
        <f t="shared" si="0"/>
        <v>20263.8</v>
      </c>
      <c r="H77" s="28"/>
      <c r="I77" s="29"/>
    </row>
    <row r="78" spans="1:15" s="223" customFormat="1" ht="18" customHeight="1" x14ac:dyDescent="0.25">
      <c r="A78" s="221">
        <f t="shared" si="1"/>
        <v>69</v>
      </c>
      <c r="B78" s="205">
        <v>45838</v>
      </c>
      <c r="C78" s="206"/>
      <c r="D78" s="207"/>
      <c r="E78" s="208"/>
      <c r="F78" s="52">
        <v>4733</v>
      </c>
      <c r="G78" s="203">
        <f t="shared" si="0"/>
        <v>15530.8</v>
      </c>
      <c r="H78" s="209"/>
      <c r="I78" s="206"/>
    </row>
    <row r="79" spans="1:15" ht="18" customHeight="1" x14ac:dyDescent="0.25">
      <c r="A79" s="221">
        <f>+A78+1</f>
        <v>70</v>
      </c>
      <c r="B79" s="8">
        <v>45840</v>
      </c>
      <c r="C79" s="15"/>
      <c r="D79" s="10"/>
      <c r="E79" s="32"/>
      <c r="F79" s="27">
        <v>3859</v>
      </c>
      <c r="G79" s="18">
        <f>+G78+E79-F79</f>
        <v>11671.8</v>
      </c>
      <c r="H79" s="28"/>
      <c r="I79" s="29"/>
    </row>
    <row r="80" spans="1:15" ht="18" customHeight="1" x14ac:dyDescent="0.25">
      <c r="A80" s="221">
        <f t="shared" si="1"/>
        <v>71</v>
      </c>
      <c r="B80" s="205">
        <v>45841</v>
      </c>
      <c r="C80" s="206"/>
      <c r="D80" s="207"/>
      <c r="E80" s="208"/>
      <c r="F80" s="52">
        <v>4762</v>
      </c>
      <c r="G80" s="203">
        <f t="shared" si="0"/>
        <v>6909.7999999999993</v>
      </c>
      <c r="H80" s="209"/>
      <c r="I80" s="206"/>
    </row>
    <row r="81" spans="1:11" ht="18" customHeight="1" x14ac:dyDescent="0.25">
      <c r="A81" s="221">
        <f t="shared" si="1"/>
        <v>72</v>
      </c>
      <c r="B81" s="8">
        <v>45842</v>
      </c>
      <c r="C81" s="15"/>
      <c r="D81" s="10"/>
      <c r="E81" s="32"/>
      <c r="F81" s="27">
        <v>5021</v>
      </c>
      <c r="G81" s="18">
        <f t="shared" si="0"/>
        <v>1888.7999999999993</v>
      </c>
      <c r="H81" s="233"/>
      <c r="I81" s="29"/>
    </row>
    <row r="82" spans="1:11" ht="18" customHeight="1" x14ac:dyDescent="0.25">
      <c r="A82" s="221">
        <f t="shared" si="1"/>
        <v>73</v>
      </c>
      <c r="B82" s="8">
        <v>45843</v>
      </c>
      <c r="C82" s="15"/>
      <c r="D82" s="10"/>
      <c r="E82" s="32">
        <v>19176</v>
      </c>
      <c r="F82" s="27"/>
      <c r="G82" s="18">
        <f t="shared" si="0"/>
        <v>21064.799999999999</v>
      </c>
      <c r="H82" s="28"/>
      <c r="I82" s="29"/>
    </row>
    <row r="83" spans="1:11" ht="18" customHeight="1" x14ac:dyDescent="0.25">
      <c r="A83" s="221">
        <f t="shared" si="1"/>
        <v>74</v>
      </c>
      <c r="B83" s="8">
        <v>45847</v>
      </c>
      <c r="C83" s="15"/>
      <c r="D83" s="10"/>
      <c r="E83" s="32"/>
      <c r="F83" s="27">
        <v>4145</v>
      </c>
      <c r="G83" s="18">
        <f t="shared" si="0"/>
        <v>16919.8</v>
      </c>
      <c r="H83" s="28"/>
      <c r="I83" s="29"/>
    </row>
    <row r="84" spans="1:11" ht="18" customHeight="1" x14ac:dyDescent="0.25">
      <c r="A84" s="221">
        <f t="shared" si="1"/>
        <v>75</v>
      </c>
      <c r="B84" s="8">
        <v>45848</v>
      </c>
      <c r="C84" s="15"/>
      <c r="D84" s="10"/>
      <c r="E84" s="32"/>
      <c r="F84" s="27">
        <v>4885</v>
      </c>
      <c r="G84" s="18">
        <f t="shared" si="0"/>
        <v>12034.8</v>
      </c>
      <c r="H84" s="28"/>
      <c r="I84" s="29"/>
    </row>
    <row r="85" spans="1:11" s="262" customFormat="1" ht="18" customHeight="1" x14ac:dyDescent="0.25">
      <c r="A85" s="221">
        <f t="shared" si="1"/>
        <v>76</v>
      </c>
      <c r="B85" s="8">
        <v>45849</v>
      </c>
      <c r="C85" s="257"/>
      <c r="D85" s="258"/>
      <c r="E85" s="259"/>
      <c r="F85" s="27">
        <v>4035</v>
      </c>
      <c r="G85" s="260">
        <f t="shared" si="0"/>
        <v>7999.7999999999993</v>
      </c>
      <c r="H85" s="261"/>
      <c r="I85" s="261"/>
    </row>
    <row r="86" spans="1:11" ht="18" customHeight="1" x14ac:dyDescent="0.25">
      <c r="A86" s="221">
        <f t="shared" si="1"/>
        <v>77</v>
      </c>
      <c r="B86" s="8">
        <v>45850</v>
      </c>
      <c r="C86" s="15"/>
      <c r="D86" s="10"/>
      <c r="E86" s="32"/>
      <c r="F86" s="27">
        <v>4097</v>
      </c>
      <c r="G86" s="18">
        <f t="shared" si="0"/>
        <v>3902.7999999999993</v>
      </c>
      <c r="H86" s="28"/>
      <c r="I86" s="29"/>
    </row>
    <row r="87" spans="1:11" ht="18" customHeight="1" x14ac:dyDescent="0.25">
      <c r="A87" s="221">
        <f t="shared" si="1"/>
        <v>78</v>
      </c>
      <c r="B87" s="8">
        <v>45852</v>
      </c>
      <c r="C87" s="15"/>
      <c r="D87" s="10"/>
      <c r="E87" s="32">
        <v>18482</v>
      </c>
      <c r="F87" s="27">
        <v>4061</v>
      </c>
      <c r="G87" s="18">
        <f t="shared" si="0"/>
        <v>18323.8</v>
      </c>
      <c r="H87" s="28"/>
      <c r="I87" s="29"/>
    </row>
    <row r="88" spans="1:11" ht="18" customHeight="1" x14ac:dyDescent="0.25">
      <c r="A88" s="221">
        <f t="shared" si="1"/>
        <v>79</v>
      </c>
      <c r="B88" s="8">
        <v>45853</v>
      </c>
      <c r="C88" s="15"/>
      <c r="D88" s="10"/>
      <c r="E88" s="32"/>
      <c r="F88" s="27">
        <v>3119</v>
      </c>
      <c r="G88" s="18">
        <f t="shared" si="0"/>
        <v>15204.8</v>
      </c>
      <c r="H88" s="28"/>
      <c r="I88" s="29"/>
    </row>
    <row r="89" spans="1:11" ht="18" customHeight="1" x14ac:dyDescent="0.25">
      <c r="A89" s="221">
        <f t="shared" si="1"/>
        <v>80</v>
      </c>
      <c r="B89" s="8">
        <v>45854</v>
      </c>
      <c r="C89" s="15"/>
      <c r="D89" s="10"/>
      <c r="E89" s="32"/>
      <c r="F89" s="27">
        <v>4079</v>
      </c>
      <c r="G89" s="18">
        <f t="shared" si="0"/>
        <v>11125.8</v>
      </c>
      <c r="H89" s="28"/>
      <c r="I89" s="29"/>
    </row>
    <row r="90" spans="1:11" ht="18" customHeight="1" x14ac:dyDescent="0.25">
      <c r="A90" s="221">
        <f t="shared" si="1"/>
        <v>81</v>
      </c>
      <c r="B90" s="8">
        <v>45855</v>
      </c>
      <c r="C90" s="15" t="s">
        <v>134</v>
      </c>
      <c r="D90" s="10"/>
      <c r="E90" s="32"/>
      <c r="F90" s="264">
        <f>5169-1056.4</f>
        <v>4112.6000000000004</v>
      </c>
      <c r="G90" s="18">
        <f t="shared" si="0"/>
        <v>7013.1999999999989</v>
      </c>
      <c r="H90" s="28"/>
      <c r="I90" s="29"/>
    </row>
    <row r="91" spans="1:11" ht="18" customHeight="1" x14ac:dyDescent="0.25">
      <c r="A91" s="221">
        <f t="shared" si="1"/>
        <v>82</v>
      </c>
      <c r="B91" s="8">
        <v>45856</v>
      </c>
      <c r="C91" s="15"/>
      <c r="D91" s="10"/>
      <c r="E91" s="32"/>
      <c r="F91" s="27">
        <v>4068</v>
      </c>
      <c r="G91" s="18">
        <f t="shared" si="0"/>
        <v>2945.1999999999989</v>
      </c>
      <c r="H91" s="28"/>
      <c r="I91" s="29"/>
    </row>
    <row r="92" spans="1:11" ht="18" customHeight="1" x14ac:dyDescent="0.25">
      <c r="A92" s="221">
        <f t="shared" si="1"/>
        <v>83</v>
      </c>
      <c r="B92" s="8">
        <v>45857</v>
      </c>
      <c r="C92" s="15"/>
      <c r="D92" s="10"/>
      <c r="E92" s="32">
        <v>13906</v>
      </c>
      <c r="F92" s="27"/>
      <c r="G92" s="18">
        <f t="shared" si="0"/>
        <v>16851.199999999997</v>
      </c>
      <c r="H92" s="28"/>
      <c r="I92" s="29"/>
      <c r="K92" s="26">
        <f>24593-E90</f>
        <v>24593</v>
      </c>
    </row>
    <row r="93" spans="1:11" ht="18" customHeight="1" x14ac:dyDescent="0.25">
      <c r="A93" s="221">
        <f t="shared" si="1"/>
        <v>84</v>
      </c>
      <c r="B93" s="8">
        <v>45861</v>
      </c>
      <c r="C93" s="15"/>
      <c r="D93" s="10"/>
      <c r="E93" s="32"/>
      <c r="F93" s="27">
        <v>3051</v>
      </c>
      <c r="G93" s="18">
        <f t="shared" si="0"/>
        <v>13800.199999999997</v>
      </c>
      <c r="H93" s="28"/>
      <c r="I93" s="29"/>
    </row>
    <row r="94" spans="1:11" ht="18" customHeight="1" x14ac:dyDescent="0.25">
      <c r="A94" s="221">
        <f t="shared" si="1"/>
        <v>85</v>
      </c>
      <c r="B94" s="8">
        <v>45862</v>
      </c>
      <c r="C94" s="15"/>
      <c r="D94" s="10"/>
      <c r="E94" s="32"/>
      <c r="F94" s="27">
        <v>3946</v>
      </c>
      <c r="G94" s="18">
        <f t="shared" si="0"/>
        <v>9854.1999999999971</v>
      </c>
      <c r="H94" s="28"/>
      <c r="I94" s="29"/>
    </row>
    <row r="95" spans="1:11" ht="18" customHeight="1" x14ac:dyDescent="0.25">
      <c r="A95" s="221">
        <f t="shared" si="1"/>
        <v>86</v>
      </c>
      <c r="B95" s="8">
        <v>45863</v>
      </c>
      <c r="C95" s="15"/>
      <c r="D95" s="10"/>
      <c r="E95" s="32"/>
      <c r="F95" s="27">
        <v>4074</v>
      </c>
      <c r="G95" s="263">
        <f t="shared" si="0"/>
        <v>5780.1999999999971</v>
      </c>
      <c r="H95" s="28"/>
      <c r="I95" s="29"/>
    </row>
    <row r="96" spans="1:11" ht="18" customHeight="1" x14ac:dyDescent="0.25">
      <c r="A96" s="221">
        <f t="shared" si="1"/>
        <v>87</v>
      </c>
      <c r="B96" s="8">
        <v>45864</v>
      </c>
      <c r="C96" s="15"/>
      <c r="D96" s="10"/>
      <c r="E96" s="32">
        <v>17421</v>
      </c>
      <c r="F96" s="27"/>
      <c r="G96" s="18">
        <f t="shared" si="0"/>
        <v>23201.199999999997</v>
      </c>
      <c r="H96" s="28"/>
      <c r="I96" s="29"/>
    </row>
    <row r="97" spans="1:16" ht="18" customHeight="1" x14ac:dyDescent="0.25">
      <c r="A97" s="221">
        <f t="shared" si="1"/>
        <v>88</v>
      </c>
      <c r="B97" s="8">
        <v>45864</v>
      </c>
      <c r="C97" s="15"/>
      <c r="D97" s="10"/>
      <c r="E97" s="32"/>
      <c r="F97" s="27">
        <v>1814</v>
      </c>
      <c r="G97" s="18">
        <f t="shared" si="0"/>
        <v>21387.199999999997</v>
      </c>
      <c r="H97" s="28"/>
      <c r="I97" s="29"/>
    </row>
    <row r="98" spans="1:16" ht="18" customHeight="1" x14ac:dyDescent="0.25">
      <c r="A98" s="221">
        <f t="shared" si="1"/>
        <v>89</v>
      </c>
      <c r="B98" s="107">
        <v>45864</v>
      </c>
      <c r="C98" s="171"/>
      <c r="D98" s="159"/>
      <c r="E98" s="108"/>
      <c r="F98" s="31">
        <v>2070</v>
      </c>
      <c r="G98" s="110">
        <f t="shared" si="0"/>
        <v>19317.199999999997</v>
      </c>
      <c r="H98" s="198"/>
      <c r="I98" s="171" t="s">
        <v>139</v>
      </c>
      <c r="P98">
        <f>1952+517+1641</f>
        <v>4110</v>
      </c>
    </row>
    <row r="99" spans="1:16" ht="18" customHeight="1" x14ac:dyDescent="0.25">
      <c r="A99" s="221">
        <f t="shared" si="1"/>
        <v>90</v>
      </c>
      <c r="B99" s="205">
        <v>45866</v>
      </c>
      <c r="C99" s="206"/>
      <c r="D99" s="207"/>
      <c r="E99" s="208"/>
      <c r="F99" s="52">
        <v>3826</v>
      </c>
      <c r="G99" s="203">
        <f t="shared" si="0"/>
        <v>15491.199999999997</v>
      </c>
      <c r="H99" s="209"/>
      <c r="I99" s="206"/>
    </row>
    <row r="100" spans="1:16" ht="18" customHeight="1" x14ac:dyDescent="0.25">
      <c r="A100" s="221">
        <f t="shared" si="1"/>
        <v>91</v>
      </c>
      <c r="B100" s="205">
        <v>45867</v>
      </c>
      <c r="C100" s="206"/>
      <c r="D100" s="207"/>
      <c r="E100" s="208"/>
      <c r="F100" s="52">
        <v>3606</v>
      </c>
      <c r="G100" s="203">
        <f t="shared" si="0"/>
        <v>11885.199999999997</v>
      </c>
      <c r="H100" s="209"/>
      <c r="I100" s="206"/>
    </row>
    <row r="101" spans="1:16" ht="18" customHeight="1" x14ac:dyDescent="0.25">
      <c r="A101" s="221">
        <f t="shared" si="1"/>
        <v>92</v>
      </c>
      <c r="B101" s="205">
        <v>45869</v>
      </c>
      <c r="C101" s="206"/>
      <c r="D101" s="207"/>
      <c r="E101" s="208">
        <v>17943</v>
      </c>
      <c r="F101" s="52"/>
      <c r="G101" s="203">
        <f t="shared" si="0"/>
        <v>29828.199999999997</v>
      </c>
      <c r="H101" s="209"/>
      <c r="I101" s="206"/>
    </row>
    <row r="102" spans="1:16" ht="18" customHeight="1" x14ac:dyDescent="0.25">
      <c r="A102" s="221">
        <f t="shared" si="1"/>
        <v>93</v>
      </c>
      <c r="B102" s="205">
        <v>45871</v>
      </c>
      <c r="C102" s="206"/>
      <c r="D102" s="207"/>
      <c r="E102" s="208"/>
      <c r="F102" s="52">
        <v>3556</v>
      </c>
      <c r="G102" s="203">
        <f t="shared" si="0"/>
        <v>26272.199999999997</v>
      </c>
      <c r="H102" s="209"/>
      <c r="I102" s="206"/>
    </row>
    <row r="103" spans="1:16" ht="18" customHeight="1" x14ac:dyDescent="0.25">
      <c r="A103" s="221">
        <f t="shared" si="1"/>
        <v>94</v>
      </c>
      <c r="B103" s="205">
        <v>45873</v>
      </c>
      <c r="C103" s="206"/>
      <c r="D103" s="207"/>
      <c r="E103" s="208"/>
      <c r="F103" s="52">
        <v>2824</v>
      </c>
      <c r="G103" s="203">
        <f t="shared" si="0"/>
        <v>23448.199999999997</v>
      </c>
      <c r="H103" s="209"/>
      <c r="I103" s="206"/>
    </row>
    <row r="104" spans="1:16" ht="18" customHeight="1" x14ac:dyDescent="0.25">
      <c r="A104" s="221">
        <f t="shared" si="1"/>
        <v>95</v>
      </c>
      <c r="B104" s="205">
        <v>45874</v>
      </c>
      <c r="C104" s="206"/>
      <c r="D104" s="207"/>
      <c r="E104" s="208"/>
      <c r="F104" s="52">
        <v>4683</v>
      </c>
      <c r="G104" s="203">
        <f t="shared" si="0"/>
        <v>18765.199999999997</v>
      </c>
      <c r="H104" s="209"/>
      <c r="I104" s="206"/>
    </row>
    <row r="105" spans="1:16" ht="18" customHeight="1" x14ac:dyDescent="0.25">
      <c r="A105" s="221">
        <f t="shared" si="1"/>
        <v>96</v>
      </c>
      <c r="B105" s="205">
        <v>45875</v>
      </c>
      <c r="C105" s="206"/>
      <c r="D105" s="207"/>
      <c r="E105" s="208"/>
      <c r="F105" s="52">
        <v>3609</v>
      </c>
      <c r="G105" s="203">
        <f t="shared" si="0"/>
        <v>15156.199999999997</v>
      </c>
      <c r="H105" s="209"/>
      <c r="I105" s="206"/>
    </row>
    <row r="106" spans="1:16" ht="18" customHeight="1" x14ac:dyDescent="0.25">
      <c r="A106" s="221">
        <f t="shared" si="1"/>
        <v>97</v>
      </c>
      <c r="B106" s="205">
        <v>45876</v>
      </c>
      <c r="C106" s="206"/>
      <c r="D106" s="207"/>
      <c r="E106" s="208"/>
      <c r="F106" s="52">
        <v>3666</v>
      </c>
      <c r="G106" s="203">
        <f t="shared" si="0"/>
        <v>11490.199999999997</v>
      </c>
      <c r="H106" s="209"/>
      <c r="I106" s="206"/>
    </row>
    <row r="107" spans="1:16" ht="18" customHeight="1" x14ac:dyDescent="0.25">
      <c r="A107" s="221">
        <f t="shared" si="1"/>
        <v>98</v>
      </c>
      <c r="B107" s="205">
        <v>45877</v>
      </c>
      <c r="C107" s="206"/>
      <c r="D107" s="207"/>
      <c r="E107" s="208"/>
      <c r="F107" s="52">
        <v>2986</v>
      </c>
      <c r="G107" s="203">
        <f t="shared" si="0"/>
        <v>8504.1999999999971</v>
      </c>
      <c r="H107" s="209"/>
      <c r="I107" s="206"/>
    </row>
    <row r="108" spans="1:16" ht="18" customHeight="1" x14ac:dyDescent="0.25">
      <c r="A108" s="221">
        <f t="shared" si="1"/>
        <v>99</v>
      </c>
      <c r="B108" s="205">
        <v>45882</v>
      </c>
      <c r="C108" s="206"/>
      <c r="D108" s="207"/>
      <c r="E108" s="208"/>
      <c r="F108" s="52">
        <v>948</v>
      </c>
      <c r="G108" s="203">
        <f t="shared" si="0"/>
        <v>7556.1999999999971</v>
      </c>
      <c r="H108" s="209"/>
      <c r="I108" s="206"/>
    </row>
    <row r="109" spans="1:16" ht="18" customHeight="1" x14ac:dyDescent="0.25">
      <c r="A109" s="221">
        <f t="shared" si="1"/>
        <v>100</v>
      </c>
      <c r="B109" s="205">
        <v>45883</v>
      </c>
      <c r="C109" s="206"/>
      <c r="D109" s="207"/>
      <c r="E109" s="208">
        <v>19158</v>
      </c>
      <c r="F109" s="52">
        <v>4634</v>
      </c>
      <c r="G109" s="203">
        <f t="shared" si="0"/>
        <v>22080.199999999997</v>
      </c>
      <c r="H109" s="209"/>
      <c r="I109" s="206"/>
    </row>
    <row r="110" spans="1:16" ht="18" customHeight="1" x14ac:dyDescent="0.25">
      <c r="A110" s="221">
        <f t="shared" si="1"/>
        <v>101</v>
      </c>
      <c r="B110" s="205">
        <v>45884</v>
      </c>
      <c r="C110" s="206"/>
      <c r="D110" s="207"/>
      <c r="E110" s="208"/>
      <c r="F110" s="52">
        <v>2047</v>
      </c>
      <c r="G110" s="203">
        <f t="shared" si="0"/>
        <v>20033.199999999997</v>
      </c>
      <c r="H110" s="209"/>
      <c r="I110" s="206"/>
    </row>
    <row r="111" spans="1:16" ht="18" customHeight="1" x14ac:dyDescent="0.25">
      <c r="A111" s="221">
        <f t="shared" si="1"/>
        <v>102</v>
      </c>
      <c r="B111" s="205">
        <v>45885</v>
      </c>
      <c r="C111" s="206"/>
      <c r="D111" s="207"/>
      <c r="E111" s="208"/>
      <c r="F111" s="52">
        <v>4049</v>
      </c>
      <c r="G111" s="203">
        <f t="shared" si="0"/>
        <v>15984.199999999997</v>
      </c>
      <c r="H111" s="209"/>
      <c r="I111" s="206"/>
    </row>
    <row r="112" spans="1:16" ht="18" customHeight="1" x14ac:dyDescent="0.25">
      <c r="A112" s="221">
        <f t="shared" si="1"/>
        <v>103</v>
      </c>
      <c r="B112" s="205">
        <v>45887</v>
      </c>
      <c r="C112" s="206"/>
      <c r="D112" s="207"/>
      <c r="E112" s="208"/>
      <c r="F112" s="52">
        <v>3935</v>
      </c>
      <c r="G112" s="203">
        <f t="shared" si="0"/>
        <v>12049.199999999997</v>
      </c>
      <c r="H112" s="209"/>
      <c r="I112" s="206"/>
    </row>
    <row r="113" spans="1:15" ht="18" customHeight="1" x14ac:dyDescent="0.25">
      <c r="A113" s="221">
        <f t="shared" si="1"/>
        <v>104</v>
      </c>
      <c r="B113" s="205">
        <v>45888</v>
      </c>
      <c r="C113" s="206"/>
      <c r="D113" s="207"/>
      <c r="E113" s="208"/>
      <c r="F113" s="52">
        <v>5027</v>
      </c>
      <c r="G113" s="203">
        <f t="shared" si="0"/>
        <v>7022.1999999999971</v>
      </c>
      <c r="H113" s="209"/>
      <c r="I113" s="206"/>
    </row>
    <row r="114" spans="1:15" ht="18" customHeight="1" x14ac:dyDescent="0.25">
      <c r="A114" s="221">
        <f t="shared" si="1"/>
        <v>105</v>
      </c>
      <c r="B114" s="205">
        <v>45889</v>
      </c>
      <c r="C114" s="206"/>
      <c r="D114" s="207"/>
      <c r="E114" s="208"/>
      <c r="F114" s="52">
        <v>4060</v>
      </c>
      <c r="G114" s="203">
        <f t="shared" si="0"/>
        <v>2962.1999999999971</v>
      </c>
      <c r="H114" s="209"/>
      <c r="I114" s="206"/>
    </row>
    <row r="115" spans="1:15" ht="18" customHeight="1" x14ac:dyDescent="0.25">
      <c r="A115" s="221">
        <f t="shared" si="1"/>
        <v>106</v>
      </c>
      <c r="B115" s="205">
        <v>45903</v>
      </c>
      <c r="C115" s="206"/>
      <c r="D115" s="207"/>
      <c r="E115" s="208">
        <v>17458</v>
      </c>
      <c r="F115" s="31">
        <v>1069</v>
      </c>
      <c r="G115" s="203">
        <f t="shared" si="0"/>
        <v>19351.199999999997</v>
      </c>
      <c r="H115" s="209"/>
      <c r="I115" s="206"/>
    </row>
    <row r="116" spans="1:15" ht="18" customHeight="1" x14ac:dyDescent="0.25">
      <c r="A116" s="221">
        <f t="shared" si="1"/>
        <v>107</v>
      </c>
      <c r="B116" s="205">
        <v>45904</v>
      </c>
      <c r="C116" s="206"/>
      <c r="D116" s="207"/>
      <c r="E116" s="208"/>
      <c r="F116" s="52">
        <v>3006</v>
      </c>
      <c r="G116" s="203">
        <f t="shared" si="0"/>
        <v>16345.199999999997</v>
      </c>
      <c r="H116" s="209"/>
      <c r="I116" s="206"/>
    </row>
    <row r="117" spans="1:15" ht="18" customHeight="1" x14ac:dyDescent="0.25">
      <c r="A117" s="221">
        <f t="shared" si="1"/>
        <v>108</v>
      </c>
      <c r="B117" s="205">
        <v>46269</v>
      </c>
      <c r="C117" s="206"/>
      <c r="D117" s="207"/>
      <c r="E117" s="208"/>
      <c r="F117" s="31">
        <v>911</v>
      </c>
      <c r="G117" s="203">
        <f t="shared" si="0"/>
        <v>15434.199999999997</v>
      </c>
      <c r="H117" s="209"/>
      <c r="I117" s="171" t="s">
        <v>149</v>
      </c>
      <c r="J117" t="s">
        <v>151</v>
      </c>
    </row>
    <row r="118" spans="1:15" ht="18" customHeight="1" x14ac:dyDescent="0.25">
      <c r="A118" s="221">
        <f t="shared" si="1"/>
        <v>109</v>
      </c>
      <c r="B118" s="205">
        <v>45905</v>
      </c>
      <c r="C118" s="206"/>
      <c r="D118" s="207"/>
      <c r="E118" s="208"/>
      <c r="F118" s="52">
        <v>2663</v>
      </c>
      <c r="G118" s="203">
        <f t="shared" si="0"/>
        <v>12771.199999999997</v>
      </c>
      <c r="H118" s="209"/>
      <c r="I118" s="206"/>
      <c r="O118">
        <f>60*16</f>
        <v>960</v>
      </c>
    </row>
    <row r="119" spans="1:15" ht="18" customHeight="1" x14ac:dyDescent="0.25">
      <c r="A119" s="221">
        <f t="shared" si="1"/>
        <v>110</v>
      </c>
      <c r="B119" s="205">
        <v>45906</v>
      </c>
      <c r="C119" s="206"/>
      <c r="D119" s="207"/>
      <c r="E119" s="208"/>
      <c r="F119" s="52">
        <v>4018</v>
      </c>
      <c r="G119" s="203">
        <f t="shared" si="0"/>
        <v>8753.1999999999971</v>
      </c>
      <c r="H119" s="209"/>
      <c r="I119" s="206"/>
    </row>
    <row r="120" spans="1:15" ht="18" customHeight="1" x14ac:dyDescent="0.25">
      <c r="A120" s="221">
        <f t="shared" si="1"/>
        <v>111</v>
      </c>
      <c r="B120" s="205">
        <v>45908</v>
      </c>
      <c r="C120" s="206"/>
      <c r="D120" s="207"/>
      <c r="E120" s="208"/>
      <c r="F120" s="52">
        <v>3820</v>
      </c>
      <c r="G120" s="203">
        <f t="shared" si="0"/>
        <v>4933.1999999999971</v>
      </c>
      <c r="H120" s="209"/>
      <c r="I120" s="206"/>
    </row>
    <row r="121" spans="1:15" ht="18" customHeight="1" x14ac:dyDescent="0.25">
      <c r="A121" s="221">
        <f t="shared" si="1"/>
        <v>112</v>
      </c>
      <c r="B121" s="205">
        <v>45909</v>
      </c>
      <c r="C121" s="206"/>
      <c r="D121" s="207"/>
      <c r="E121" s="208"/>
      <c r="F121" s="52">
        <v>4058</v>
      </c>
      <c r="G121" s="203">
        <f t="shared" si="0"/>
        <v>875.19999999999709</v>
      </c>
      <c r="H121" s="209"/>
      <c r="I121" s="206"/>
    </row>
    <row r="122" spans="1:15" ht="18" customHeight="1" x14ac:dyDescent="0.25">
      <c r="A122" s="221">
        <f t="shared" si="1"/>
        <v>113</v>
      </c>
      <c r="B122" s="205">
        <v>45918</v>
      </c>
      <c r="C122" s="206"/>
      <c r="D122" s="207"/>
      <c r="E122" s="208">
        <v>17468</v>
      </c>
      <c r="F122" s="52"/>
      <c r="G122" s="203">
        <f t="shared" si="0"/>
        <v>18343.199999999997</v>
      </c>
      <c r="H122" s="209"/>
      <c r="I122" s="206"/>
    </row>
    <row r="123" spans="1:15" ht="18" customHeight="1" x14ac:dyDescent="0.25">
      <c r="A123" s="221">
        <f t="shared" si="1"/>
        <v>114</v>
      </c>
      <c r="B123" s="205">
        <v>45918</v>
      </c>
      <c r="C123" s="206"/>
      <c r="D123" s="207"/>
      <c r="E123" s="208"/>
      <c r="F123" s="52">
        <v>1947</v>
      </c>
      <c r="G123" s="203">
        <f t="shared" si="0"/>
        <v>16396.199999999997</v>
      </c>
      <c r="H123" s="209"/>
      <c r="I123" s="206"/>
    </row>
    <row r="124" spans="1:15" ht="18" customHeight="1" x14ac:dyDescent="0.25">
      <c r="A124" s="221">
        <f t="shared" si="1"/>
        <v>115</v>
      </c>
      <c r="B124" s="205">
        <v>45919</v>
      </c>
      <c r="C124" s="206"/>
      <c r="D124" s="207"/>
      <c r="E124" s="208"/>
      <c r="F124" s="52">
        <v>3858</v>
      </c>
      <c r="G124" s="203">
        <f t="shared" si="0"/>
        <v>12538.199999999997</v>
      </c>
      <c r="H124" s="209"/>
      <c r="I124" s="206"/>
    </row>
    <row r="125" spans="1:15" ht="18" customHeight="1" x14ac:dyDescent="0.25">
      <c r="A125" s="221">
        <f t="shared" si="1"/>
        <v>116</v>
      </c>
      <c r="B125" s="205">
        <v>45920</v>
      </c>
      <c r="C125" s="206"/>
      <c r="D125" s="207"/>
      <c r="E125" s="208"/>
      <c r="F125" s="52">
        <f>3895</f>
        <v>3895</v>
      </c>
      <c r="G125" s="203">
        <f t="shared" si="0"/>
        <v>8643.1999999999971</v>
      </c>
      <c r="H125" s="209"/>
      <c r="I125" s="206"/>
    </row>
    <row r="126" spans="1:15" ht="18" customHeight="1" x14ac:dyDescent="0.25">
      <c r="A126" s="221">
        <f t="shared" si="1"/>
        <v>117</v>
      </c>
      <c r="B126" s="205">
        <v>45920</v>
      </c>
      <c r="C126" s="206"/>
      <c r="D126" s="207"/>
      <c r="E126" s="208"/>
      <c r="F126" s="31">
        <v>969</v>
      </c>
      <c r="G126" s="203">
        <f t="shared" si="0"/>
        <v>7674.1999999999971</v>
      </c>
      <c r="H126" s="209"/>
      <c r="I126" s="171" t="s">
        <v>149</v>
      </c>
      <c r="J126" t="s">
        <v>151</v>
      </c>
    </row>
    <row r="127" spans="1:15" ht="18" customHeight="1" x14ac:dyDescent="0.25">
      <c r="A127" s="221">
        <f t="shared" si="1"/>
        <v>118</v>
      </c>
      <c r="B127" s="205">
        <v>45922</v>
      </c>
      <c r="C127" s="206"/>
      <c r="D127" s="207"/>
      <c r="E127" s="208"/>
      <c r="F127" s="52">
        <v>3917</v>
      </c>
      <c r="G127" s="203">
        <f t="shared" si="0"/>
        <v>3757.1999999999971</v>
      </c>
      <c r="H127" s="209"/>
      <c r="I127" s="206"/>
    </row>
    <row r="128" spans="1:15" ht="18" customHeight="1" x14ac:dyDescent="0.25">
      <c r="A128" s="221">
        <f t="shared" si="1"/>
        <v>119</v>
      </c>
      <c r="B128" s="205">
        <v>45923</v>
      </c>
      <c r="C128" s="206"/>
      <c r="D128" s="207"/>
      <c r="E128" s="208"/>
      <c r="F128" s="52">
        <v>2882</v>
      </c>
      <c r="G128" s="203">
        <f t="shared" si="0"/>
        <v>875.19999999999709</v>
      </c>
      <c r="H128" s="209"/>
      <c r="I128" s="206"/>
    </row>
    <row r="129" spans="1:16" ht="18" customHeight="1" x14ac:dyDescent="0.25">
      <c r="A129" s="221">
        <f t="shared" si="1"/>
        <v>120</v>
      </c>
      <c r="B129" s="205">
        <v>45927</v>
      </c>
      <c r="C129" s="206"/>
      <c r="D129" s="207"/>
      <c r="E129" s="208">
        <v>18398</v>
      </c>
      <c r="F129" s="52"/>
      <c r="G129" s="203">
        <f t="shared" si="0"/>
        <v>19273.199999999997</v>
      </c>
      <c r="H129" s="209"/>
      <c r="I129" s="206"/>
    </row>
    <row r="130" spans="1:16" ht="18" customHeight="1" x14ac:dyDescent="0.25">
      <c r="A130" s="221">
        <f t="shared" si="1"/>
        <v>121</v>
      </c>
      <c r="B130" s="205">
        <v>45929</v>
      </c>
      <c r="C130" s="206"/>
      <c r="D130" s="207"/>
      <c r="E130" s="208"/>
      <c r="F130" s="52">
        <v>4101</v>
      </c>
      <c r="G130" s="203">
        <f t="shared" si="0"/>
        <v>15172.199999999997</v>
      </c>
      <c r="H130" s="209"/>
      <c r="I130" s="206"/>
    </row>
    <row r="131" spans="1:16" ht="18" customHeight="1" x14ac:dyDescent="0.25">
      <c r="A131" s="221">
        <f t="shared" si="1"/>
        <v>122</v>
      </c>
      <c r="B131" s="205">
        <v>45930</v>
      </c>
      <c r="C131" s="206"/>
      <c r="D131" s="207"/>
      <c r="E131" s="208"/>
      <c r="F131" s="31">
        <v>3078</v>
      </c>
      <c r="G131" s="203">
        <f t="shared" si="0"/>
        <v>12094.199999999997</v>
      </c>
      <c r="H131" s="209"/>
      <c r="I131" s="206"/>
    </row>
    <row r="132" spans="1:16" ht="18" customHeight="1" x14ac:dyDescent="0.25">
      <c r="A132" s="221">
        <f t="shared" si="1"/>
        <v>123</v>
      </c>
      <c r="B132" s="205">
        <v>45931</v>
      </c>
      <c r="C132" s="206"/>
      <c r="D132" s="207"/>
      <c r="E132" s="208"/>
      <c r="F132" s="52">
        <v>4062</v>
      </c>
      <c r="G132" s="203">
        <f t="shared" si="0"/>
        <v>8032.1999999999971</v>
      </c>
      <c r="H132" s="209"/>
      <c r="I132" s="206"/>
    </row>
    <row r="133" spans="1:16" ht="18" customHeight="1" x14ac:dyDescent="0.25">
      <c r="A133" s="221">
        <f t="shared" si="1"/>
        <v>124</v>
      </c>
      <c r="B133" s="205">
        <v>45932</v>
      </c>
      <c r="C133" s="206"/>
      <c r="D133" s="207"/>
      <c r="E133" s="208">
        <v>17742</v>
      </c>
      <c r="F133" s="52">
        <v>4068</v>
      </c>
      <c r="G133" s="203">
        <f t="shared" si="0"/>
        <v>21706.199999999997</v>
      </c>
      <c r="H133" s="209"/>
      <c r="I133" s="206"/>
    </row>
    <row r="134" spans="1:16" ht="18" customHeight="1" x14ac:dyDescent="0.25">
      <c r="A134" s="221">
        <f t="shared" si="1"/>
        <v>125</v>
      </c>
      <c r="B134" s="205">
        <v>45933</v>
      </c>
      <c r="C134" s="206"/>
      <c r="D134" s="207"/>
      <c r="E134" s="208"/>
      <c r="F134" s="52">
        <v>2986</v>
      </c>
      <c r="G134" s="203">
        <f t="shared" si="0"/>
        <v>18720.199999999997</v>
      </c>
      <c r="H134" s="209"/>
      <c r="I134" s="206"/>
    </row>
    <row r="135" spans="1:16" ht="18" customHeight="1" x14ac:dyDescent="0.25">
      <c r="A135" s="221">
        <f t="shared" si="1"/>
        <v>126</v>
      </c>
      <c r="B135" s="205">
        <v>45934</v>
      </c>
      <c r="C135" s="206"/>
      <c r="D135" s="207"/>
      <c r="E135" s="208"/>
      <c r="F135" s="52">
        <v>2901</v>
      </c>
      <c r="G135" s="203">
        <f t="shared" si="0"/>
        <v>15819.199999999997</v>
      </c>
      <c r="H135" s="209"/>
      <c r="I135" s="206"/>
    </row>
    <row r="136" spans="1:16" ht="18" customHeight="1" x14ac:dyDescent="0.25">
      <c r="A136" s="221">
        <f t="shared" si="1"/>
        <v>127</v>
      </c>
      <c r="B136" s="205">
        <v>45936</v>
      </c>
      <c r="C136" s="206"/>
      <c r="D136" s="207"/>
      <c r="E136" s="208"/>
      <c r="F136" s="52">
        <v>3981</v>
      </c>
      <c r="G136" s="203">
        <f t="shared" si="0"/>
        <v>11838.199999999997</v>
      </c>
      <c r="H136" s="209"/>
      <c r="I136" s="206"/>
    </row>
    <row r="137" spans="1:16" ht="18" customHeight="1" x14ac:dyDescent="0.25">
      <c r="A137" s="221">
        <f t="shared" si="1"/>
        <v>128</v>
      </c>
      <c r="B137" s="205">
        <v>45937</v>
      </c>
      <c r="C137" s="206"/>
      <c r="D137" s="207"/>
      <c r="E137" s="208"/>
      <c r="F137" s="52">
        <v>2921</v>
      </c>
      <c r="G137" s="203">
        <f t="shared" si="0"/>
        <v>8917.1999999999971</v>
      </c>
      <c r="H137" s="209"/>
      <c r="I137" s="206"/>
    </row>
    <row r="138" spans="1:16" ht="18" customHeight="1" x14ac:dyDescent="0.25">
      <c r="A138" s="221">
        <f t="shared" si="1"/>
        <v>129</v>
      </c>
      <c r="B138" s="205">
        <v>45938</v>
      </c>
      <c r="C138" s="206"/>
      <c r="D138" s="207"/>
      <c r="E138" s="208"/>
      <c r="F138" s="52">
        <v>2980</v>
      </c>
      <c r="G138" s="203">
        <f t="shared" si="0"/>
        <v>5937.1999999999971</v>
      </c>
      <c r="H138" s="209"/>
      <c r="I138" s="206"/>
    </row>
    <row r="139" spans="1:16" ht="18" customHeight="1" x14ac:dyDescent="0.25">
      <c r="A139" s="221">
        <f t="shared" si="1"/>
        <v>130</v>
      </c>
      <c r="B139" s="205">
        <v>45939</v>
      </c>
      <c r="C139" s="206"/>
      <c r="D139" s="207"/>
      <c r="E139" s="208"/>
      <c r="F139" s="52">
        <v>4015</v>
      </c>
      <c r="G139" s="203">
        <f t="shared" si="0"/>
        <v>1922.1999999999971</v>
      </c>
      <c r="H139" s="209"/>
      <c r="I139" s="206"/>
    </row>
    <row r="140" spans="1:16" ht="18" customHeight="1" x14ac:dyDescent="0.25">
      <c r="A140" s="221">
        <f t="shared" si="1"/>
        <v>131</v>
      </c>
      <c r="B140" s="205"/>
      <c r="C140" s="206"/>
      <c r="D140" s="207"/>
      <c r="E140" s="208"/>
      <c r="F140" s="52"/>
      <c r="G140" s="203">
        <f t="shared" si="0"/>
        <v>1922.1999999999971</v>
      </c>
      <c r="H140" s="209"/>
      <c r="I140" s="206"/>
    </row>
    <row r="141" spans="1:16" ht="18" customHeight="1" x14ac:dyDescent="0.25">
      <c r="A141" s="221">
        <f t="shared" si="1"/>
        <v>132</v>
      </c>
      <c r="B141" s="205"/>
      <c r="C141" s="206"/>
      <c r="D141" s="207"/>
      <c r="E141" s="208"/>
      <c r="F141" s="52"/>
      <c r="G141" s="203">
        <f t="shared" si="0"/>
        <v>1922.1999999999971</v>
      </c>
      <c r="H141" s="209"/>
      <c r="I141" s="206"/>
    </row>
    <row r="142" spans="1:16" ht="18" customHeight="1" x14ac:dyDescent="0.25">
      <c r="A142" s="221">
        <f t="shared" si="1"/>
        <v>133</v>
      </c>
      <c r="B142" s="205"/>
      <c r="C142" s="206"/>
      <c r="D142" s="207"/>
      <c r="E142" s="208"/>
      <c r="F142" s="52"/>
      <c r="G142" s="203">
        <f t="shared" si="0"/>
        <v>1922.1999999999971</v>
      </c>
      <c r="H142" s="209"/>
      <c r="I142" s="206"/>
    </row>
    <row r="143" spans="1:16" ht="18" customHeight="1" x14ac:dyDescent="0.25">
      <c r="A143" s="221">
        <f t="shared" si="1"/>
        <v>134</v>
      </c>
      <c r="B143" s="8"/>
      <c r="C143" s="15"/>
      <c r="D143" s="10"/>
      <c r="E143" s="32"/>
      <c r="F143" s="27"/>
      <c r="G143" s="203">
        <f t="shared" si="0"/>
        <v>1922.1999999999971</v>
      </c>
      <c r="H143" s="28"/>
      <c r="I143" s="29"/>
      <c r="P143">
        <f>+P98/16</f>
        <v>256.875</v>
      </c>
    </row>
    <row r="144" spans="1:16" ht="18" customHeight="1" x14ac:dyDescent="0.25">
      <c r="A144" s="221">
        <f t="shared" si="1"/>
        <v>135</v>
      </c>
      <c r="B144" s="8"/>
      <c r="C144" s="15"/>
      <c r="D144" s="10"/>
      <c r="E144" s="32"/>
      <c r="F144" s="27"/>
      <c r="G144" s="203">
        <f t="shared" si="0"/>
        <v>1922.1999999999971</v>
      </c>
      <c r="H144" s="28"/>
      <c r="I144" s="29"/>
      <c r="P144">
        <f>257-122</f>
        <v>135</v>
      </c>
    </row>
    <row r="145" spans="1:14" ht="18" customHeight="1" x14ac:dyDescent="0.25">
      <c r="A145" s="221">
        <f t="shared" si="1"/>
        <v>136</v>
      </c>
      <c r="B145" s="8"/>
      <c r="C145" s="15"/>
      <c r="D145" s="10"/>
      <c r="E145" s="32"/>
      <c r="F145" s="27"/>
      <c r="G145" s="203">
        <f t="shared" si="0"/>
        <v>1922.1999999999971</v>
      </c>
      <c r="H145" s="28"/>
      <c r="I145" s="29"/>
      <c r="L145">
        <f>3296*91</f>
        <v>299936</v>
      </c>
      <c r="N145">
        <f>1952*91</f>
        <v>177632</v>
      </c>
    </row>
    <row r="146" spans="1:14" ht="18" customHeight="1" x14ac:dyDescent="0.25">
      <c r="A146" s="221">
        <f t="shared" si="1"/>
        <v>137</v>
      </c>
      <c r="B146" s="8"/>
      <c r="C146" s="15"/>
      <c r="D146" s="10"/>
      <c r="E146" s="32"/>
      <c r="F146" s="27"/>
      <c r="G146" s="203">
        <f t="shared" si="0"/>
        <v>1922.1999999999971</v>
      </c>
      <c r="H146" s="28"/>
      <c r="I146" s="29"/>
      <c r="L146">
        <f>+L145/2821</f>
        <v>106.3225806451613</v>
      </c>
      <c r="N146">
        <f>+N145/2821</f>
        <v>62.967741935483872</v>
      </c>
    </row>
    <row r="147" spans="1:14" ht="18" customHeight="1" x14ac:dyDescent="0.25">
      <c r="A147" s="221">
        <f t="shared" si="1"/>
        <v>138</v>
      </c>
      <c r="B147" s="8"/>
      <c r="C147" s="15"/>
      <c r="D147" s="10"/>
      <c r="E147" s="32"/>
      <c r="F147" s="27"/>
      <c r="G147" s="203">
        <f t="shared" si="0"/>
        <v>1922.1999999999971</v>
      </c>
      <c r="H147" s="28"/>
      <c r="I147" s="29"/>
    </row>
    <row r="148" spans="1:14" ht="18" customHeight="1" x14ac:dyDescent="0.25">
      <c r="A148" s="221">
        <f t="shared" si="1"/>
        <v>139</v>
      </c>
      <c r="B148" s="8"/>
      <c r="C148" s="15"/>
      <c r="D148" s="10"/>
      <c r="E148" s="32"/>
      <c r="F148" s="27"/>
      <c r="G148" s="203">
        <f t="shared" si="0"/>
        <v>1922.1999999999971</v>
      </c>
      <c r="H148" s="28"/>
      <c r="I148" s="29"/>
    </row>
    <row r="149" spans="1:14" ht="15" customHeight="1" x14ac:dyDescent="0.25">
      <c r="A149" s="7"/>
      <c r="B149" s="33"/>
      <c r="C149" s="34" t="s">
        <v>13</v>
      </c>
      <c r="D149" s="7"/>
      <c r="E149" s="35">
        <f>SUM(E10:E148)</f>
        <v>360679</v>
      </c>
      <c r="F149" s="35">
        <f>SUM(F10:F148)</f>
        <v>358756.80000000005</v>
      </c>
      <c r="G149" s="35">
        <f>+E149-F149+G9</f>
        <v>1922.1999999999534</v>
      </c>
      <c r="H149" s="35"/>
      <c r="I149" s="36"/>
    </row>
    <row r="150" spans="1:14" ht="15" customHeight="1" x14ac:dyDescent="0.25">
      <c r="B150" s="1"/>
      <c r="E150" s="26"/>
      <c r="F150" s="26"/>
    </row>
    <row r="151" spans="1:14" ht="15" customHeight="1" x14ac:dyDescent="0.25">
      <c r="B151" s="1"/>
    </row>
    <row r="152" spans="1:14" ht="15" customHeight="1" x14ac:dyDescent="0.25">
      <c r="B152" s="1"/>
    </row>
    <row r="153" spans="1:14" ht="15" customHeight="1" x14ac:dyDescent="0.25">
      <c r="B153" s="1"/>
    </row>
    <row r="154" spans="1:14" ht="15" customHeight="1" x14ac:dyDescent="0.25">
      <c r="B154" s="1"/>
    </row>
    <row r="155" spans="1:14" ht="15" customHeight="1" x14ac:dyDescent="0.25">
      <c r="B155" s="1"/>
    </row>
    <row r="156" spans="1:14" ht="15" customHeight="1" x14ac:dyDescent="0.25">
      <c r="K156" s="26"/>
    </row>
    <row r="157" spans="1:14" ht="15" customHeight="1" x14ac:dyDescent="0.25">
      <c r="K157" s="26"/>
    </row>
    <row r="158" spans="1:14" ht="15" customHeight="1" x14ac:dyDescent="0.25"/>
    <row r="159" spans="1:14" ht="15" customHeight="1" x14ac:dyDescent="0.25"/>
    <row r="160" spans="1:14" ht="15" customHeight="1" x14ac:dyDescent="0.25"/>
    <row r="161" spans="9:9" ht="15" customHeight="1" x14ac:dyDescent="0.25"/>
    <row r="162" spans="9:9" ht="15" customHeight="1" x14ac:dyDescent="0.25"/>
    <row r="163" spans="9:9" ht="15" customHeight="1" x14ac:dyDescent="0.25"/>
    <row r="164" spans="9:9" ht="15" customHeight="1" x14ac:dyDescent="0.25"/>
    <row r="165" spans="9:9" ht="15" customHeight="1" x14ac:dyDescent="0.25"/>
    <row r="166" spans="9:9" ht="15" customHeight="1" x14ac:dyDescent="0.25"/>
    <row r="167" spans="9:9" ht="15" customHeight="1" x14ac:dyDescent="0.25"/>
    <row r="168" spans="9:9" ht="15" customHeight="1" x14ac:dyDescent="0.25"/>
    <row r="169" spans="9:9" ht="15" customHeight="1" x14ac:dyDescent="0.25">
      <c r="I169">
        <f>3152-29</f>
        <v>3123</v>
      </c>
    </row>
    <row r="170" spans="9:9" ht="15" customHeight="1" x14ac:dyDescent="0.25"/>
    <row r="171" spans="9:9" ht="15" customHeight="1" x14ac:dyDescent="0.25"/>
    <row r="172" spans="9:9" ht="15" customHeight="1" x14ac:dyDescent="0.25"/>
    <row r="173" spans="9:9" ht="15" customHeight="1" x14ac:dyDescent="0.25"/>
    <row r="174" spans="9:9" ht="15" customHeight="1" x14ac:dyDescent="0.25"/>
    <row r="175" spans="9:9" ht="15" customHeight="1" x14ac:dyDescent="0.25"/>
    <row r="176" spans="9:9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</sheetData>
  <mergeCells count="1">
    <mergeCell ref="A4:I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3833-3C23-4262-A437-53B40EDE7365}">
  <sheetPr codeName="Sheet10"/>
  <dimension ref="A1:N88"/>
  <sheetViews>
    <sheetView topLeftCell="A4" workbookViewId="0">
      <selection activeCell="I24" sqref="I24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5703125" customWidth="1"/>
    <col min="9" max="9" width="19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4" x14ac:dyDescent="0.25">
      <c r="A1" t="s">
        <v>0</v>
      </c>
    </row>
    <row r="2" spans="1:14" x14ac:dyDescent="0.25">
      <c r="A2" t="s">
        <v>1</v>
      </c>
    </row>
    <row r="4" spans="1:14" x14ac:dyDescent="0.25">
      <c r="A4" s="271" t="s">
        <v>2</v>
      </c>
      <c r="B4" s="271"/>
      <c r="C4" s="271"/>
      <c r="D4" s="271"/>
      <c r="E4" s="271"/>
      <c r="F4" s="271"/>
      <c r="G4" s="271"/>
      <c r="H4" s="271"/>
      <c r="I4" s="271"/>
    </row>
    <row r="5" spans="1:14" x14ac:dyDescent="0.25">
      <c r="A5" s="271"/>
      <c r="B5" s="271"/>
      <c r="C5" s="271"/>
      <c r="D5" s="271"/>
      <c r="E5" s="271"/>
      <c r="F5" s="271"/>
      <c r="G5" s="271"/>
      <c r="H5" s="271"/>
      <c r="I5" s="271"/>
    </row>
    <row r="6" spans="1:14" x14ac:dyDescent="0.25">
      <c r="A6" s="2"/>
      <c r="B6" s="2"/>
      <c r="C6" s="2"/>
      <c r="D6" s="2"/>
      <c r="E6" s="2"/>
      <c r="F6" s="2"/>
      <c r="G6" s="2"/>
      <c r="H6" s="2"/>
      <c r="I6" s="2"/>
    </row>
    <row r="8" spans="1:14" ht="27.75" customHeight="1" x14ac:dyDescent="0.25">
      <c r="A8" s="4" t="s">
        <v>3</v>
      </c>
      <c r="B8" s="4" t="s">
        <v>4</v>
      </c>
      <c r="C8" s="4" t="s">
        <v>31</v>
      </c>
      <c r="D8" s="4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4" t="s">
        <v>10</v>
      </c>
    </row>
    <row r="9" spans="1:14" ht="18" customHeight="1" x14ac:dyDescent="0.25">
      <c r="A9" s="7"/>
      <c r="B9" s="8"/>
      <c r="C9" s="9" t="s">
        <v>11</v>
      </c>
      <c r="D9" s="10"/>
      <c r="E9" s="11"/>
      <c r="F9" s="12"/>
      <c r="G9" s="51"/>
      <c r="H9" s="7"/>
      <c r="I9" s="7"/>
    </row>
    <row r="10" spans="1:14" ht="18" customHeight="1" x14ac:dyDescent="0.25">
      <c r="A10" s="14">
        <v>1</v>
      </c>
      <c r="B10" s="8">
        <v>45708</v>
      </c>
      <c r="C10" s="15" t="s">
        <v>52</v>
      </c>
      <c r="D10" s="10" t="s">
        <v>21</v>
      </c>
      <c r="E10" s="16">
        <v>4095</v>
      </c>
      <c r="F10" s="52"/>
      <c r="G10" s="18">
        <f t="shared" ref="G10:G46" si="0">+G9+E10-F10</f>
        <v>4095</v>
      </c>
      <c r="H10" s="18" t="s">
        <v>26</v>
      </c>
      <c r="I10" s="7">
        <v>6</v>
      </c>
      <c r="J10" s="26"/>
    </row>
    <row r="11" spans="1:14" ht="18" customHeight="1" x14ac:dyDescent="0.25">
      <c r="A11" s="14">
        <f t="shared" ref="A11:A46" si="1">+A10+1</f>
        <v>2</v>
      </c>
      <c r="B11" s="8">
        <v>45710</v>
      </c>
      <c r="C11" s="15"/>
      <c r="D11" s="10" t="s">
        <v>21</v>
      </c>
      <c r="E11" s="16"/>
      <c r="F11" s="52">
        <v>3415</v>
      </c>
      <c r="G11" s="18">
        <f t="shared" si="0"/>
        <v>680</v>
      </c>
      <c r="H11" s="18" t="s">
        <v>26</v>
      </c>
      <c r="I11" s="7">
        <v>5</v>
      </c>
    </row>
    <row r="12" spans="1:14" ht="18" customHeight="1" x14ac:dyDescent="0.25">
      <c r="A12" s="14">
        <f t="shared" si="1"/>
        <v>3</v>
      </c>
      <c r="B12" s="8">
        <v>45712</v>
      </c>
      <c r="C12" s="15"/>
      <c r="D12" s="10" t="s">
        <v>21</v>
      </c>
      <c r="E12" s="16"/>
      <c r="F12" s="53">
        <v>680</v>
      </c>
      <c r="G12" s="18">
        <f t="shared" si="0"/>
        <v>0</v>
      </c>
      <c r="H12" s="18" t="s">
        <v>26</v>
      </c>
      <c r="I12" s="7">
        <v>1</v>
      </c>
    </row>
    <row r="13" spans="1:14" ht="18" customHeight="1" x14ac:dyDescent="0.25">
      <c r="A13" s="14">
        <f t="shared" si="1"/>
        <v>4</v>
      </c>
      <c r="B13" s="8">
        <v>45712</v>
      </c>
      <c r="C13" s="15"/>
      <c r="D13" s="10" t="s">
        <v>21</v>
      </c>
      <c r="E13" s="16">
        <v>1588</v>
      </c>
      <c r="F13" s="53"/>
      <c r="G13" s="18">
        <f t="shared" si="0"/>
        <v>1588</v>
      </c>
      <c r="H13" s="18" t="s">
        <v>26</v>
      </c>
      <c r="I13" s="7">
        <v>2</v>
      </c>
    </row>
    <row r="14" spans="1:14" ht="18" customHeight="1" x14ac:dyDescent="0.25">
      <c r="A14" s="14">
        <f t="shared" si="1"/>
        <v>5</v>
      </c>
      <c r="B14" s="8">
        <v>45714</v>
      </c>
      <c r="C14" s="15"/>
      <c r="D14" s="10" t="s">
        <v>21</v>
      </c>
      <c r="E14" s="16">
        <v>293</v>
      </c>
      <c r="F14" s="53">
        <v>1588</v>
      </c>
      <c r="G14" s="18">
        <f t="shared" si="0"/>
        <v>293</v>
      </c>
      <c r="H14" s="18" t="s">
        <v>26</v>
      </c>
      <c r="I14" s="7" t="s">
        <v>69</v>
      </c>
      <c r="L14" s="26">
        <f>+F11+F12+F14+F17+F19</f>
        <v>8132</v>
      </c>
      <c r="M14" s="26">
        <f>+L14-E18-E19</f>
        <v>6898.8</v>
      </c>
    </row>
    <row r="15" spans="1:14" ht="18" customHeight="1" x14ac:dyDescent="0.25">
      <c r="A15" s="14">
        <f t="shared" si="1"/>
        <v>6</v>
      </c>
      <c r="B15" s="8">
        <v>45719</v>
      </c>
      <c r="C15" s="15"/>
      <c r="D15" s="10" t="s">
        <v>21</v>
      </c>
      <c r="E15" s="16"/>
      <c r="F15" s="53">
        <v>293</v>
      </c>
      <c r="G15" s="18">
        <f t="shared" si="0"/>
        <v>0</v>
      </c>
      <c r="H15" s="18" t="s">
        <v>26</v>
      </c>
      <c r="I15" s="7" t="s">
        <v>25</v>
      </c>
    </row>
    <row r="16" spans="1:14" ht="18" customHeight="1" x14ac:dyDescent="0.25">
      <c r="A16" s="14">
        <f t="shared" si="1"/>
        <v>7</v>
      </c>
      <c r="B16" s="8">
        <v>45748</v>
      </c>
      <c r="C16" s="15"/>
      <c r="D16" s="10"/>
      <c r="E16" s="16">
        <v>2426</v>
      </c>
      <c r="F16" s="53"/>
      <c r="G16" s="18">
        <f t="shared" si="0"/>
        <v>2426</v>
      </c>
      <c r="H16" s="28"/>
      <c r="I16" s="29"/>
      <c r="J16" s="26"/>
      <c r="N16" s="26">
        <f>+F11+F12+F14+F17+F19-E18-E19</f>
        <v>6898.8</v>
      </c>
    </row>
    <row r="17" spans="1:14" ht="18" customHeight="1" x14ac:dyDescent="0.25">
      <c r="A17" s="14">
        <f t="shared" si="1"/>
        <v>8</v>
      </c>
      <c r="B17" s="8">
        <v>45770</v>
      </c>
      <c r="C17" s="15"/>
      <c r="D17" s="10"/>
      <c r="E17" s="16"/>
      <c r="F17" s="53">
        <v>1592</v>
      </c>
      <c r="G17" s="18">
        <f t="shared" si="0"/>
        <v>834</v>
      </c>
      <c r="H17" s="28"/>
      <c r="I17" s="38"/>
    </row>
    <row r="18" spans="1:14" ht="18" customHeight="1" x14ac:dyDescent="0.25">
      <c r="A18" s="106">
        <f t="shared" si="1"/>
        <v>9</v>
      </c>
      <c r="B18" s="158" t="s">
        <v>108</v>
      </c>
      <c r="C18" s="171" t="s">
        <v>102</v>
      </c>
      <c r="D18" s="159"/>
      <c r="E18" s="210">
        <f>608.4</f>
        <v>608.4</v>
      </c>
      <c r="F18" s="180"/>
      <c r="G18" s="110">
        <f t="shared" si="0"/>
        <v>1442.4</v>
      </c>
      <c r="H18" s="198"/>
      <c r="I18" s="204"/>
    </row>
    <row r="19" spans="1:14" ht="18" customHeight="1" x14ac:dyDescent="0.25">
      <c r="A19" s="106">
        <f t="shared" si="1"/>
        <v>10</v>
      </c>
      <c r="B19" s="158">
        <v>45792</v>
      </c>
      <c r="C19" s="171" t="s">
        <v>106</v>
      </c>
      <c r="D19" s="159"/>
      <c r="E19" s="210">
        <f>624.8</f>
        <v>624.79999999999995</v>
      </c>
      <c r="F19" s="31">
        <v>857</v>
      </c>
      <c r="G19" s="110">
        <f t="shared" si="0"/>
        <v>1210.1999999999998</v>
      </c>
      <c r="H19" s="198"/>
      <c r="I19" s="204"/>
      <c r="L19">
        <f>3160+834</f>
        <v>3994</v>
      </c>
    </row>
    <row r="20" spans="1:14" ht="18" customHeight="1" x14ac:dyDescent="0.25">
      <c r="A20" s="14">
        <f t="shared" si="1"/>
        <v>11</v>
      </c>
      <c r="B20" s="44">
        <v>45815</v>
      </c>
      <c r="C20" s="15"/>
      <c r="D20" s="10"/>
      <c r="E20" s="30"/>
      <c r="F20" s="52">
        <f>608.4+624.8</f>
        <v>1233.1999999999998</v>
      </c>
      <c r="G20" s="18">
        <f t="shared" si="0"/>
        <v>-23</v>
      </c>
      <c r="H20" s="28"/>
      <c r="I20" s="204" t="s">
        <v>114</v>
      </c>
      <c r="K20" s="26">
        <f>+F19-E19</f>
        <v>232.20000000000005</v>
      </c>
      <c r="N20">
        <f>1592-743</f>
        <v>849</v>
      </c>
    </row>
    <row r="21" spans="1:14" ht="18" customHeight="1" x14ac:dyDescent="0.25">
      <c r="A21" s="14">
        <f t="shared" si="1"/>
        <v>12</v>
      </c>
      <c r="B21" s="8"/>
      <c r="C21" s="15"/>
      <c r="D21" s="10"/>
      <c r="E21" s="16"/>
      <c r="F21" s="52"/>
      <c r="G21" s="18">
        <f t="shared" si="0"/>
        <v>-23</v>
      </c>
      <c r="H21" s="28"/>
      <c r="I21" s="38"/>
      <c r="K21">
        <f>+K20/12</f>
        <v>19.350000000000005</v>
      </c>
      <c r="L21">
        <f>557+625+608.4</f>
        <v>1790.4</v>
      </c>
      <c r="N21">
        <f>857-625</f>
        <v>232</v>
      </c>
    </row>
    <row r="22" spans="1:14" ht="18" customHeight="1" x14ac:dyDescent="0.25">
      <c r="A22" s="14">
        <f t="shared" si="1"/>
        <v>13</v>
      </c>
      <c r="B22" s="8"/>
      <c r="C22" s="15"/>
      <c r="D22" s="10"/>
      <c r="E22" s="16"/>
      <c r="F22" s="52"/>
      <c r="G22" s="18">
        <f t="shared" si="0"/>
        <v>-23</v>
      </c>
      <c r="H22" s="28"/>
      <c r="I22" s="29"/>
      <c r="K22">
        <f>+K21/31</f>
        <v>0.62419354838709695</v>
      </c>
      <c r="L22">
        <f>2646-L21</f>
        <v>855.59999999999991</v>
      </c>
    </row>
    <row r="23" spans="1:14" ht="18" customHeight="1" x14ac:dyDescent="0.25">
      <c r="A23" s="14">
        <f t="shared" si="1"/>
        <v>14</v>
      </c>
      <c r="B23" s="8"/>
      <c r="C23" s="15"/>
      <c r="D23" s="10"/>
      <c r="E23" s="16"/>
      <c r="F23" s="52"/>
      <c r="G23" s="18">
        <f t="shared" si="0"/>
        <v>-23</v>
      </c>
      <c r="H23" s="28"/>
      <c r="I23" s="29"/>
    </row>
    <row r="24" spans="1:14" ht="18" customHeight="1" x14ac:dyDescent="0.25">
      <c r="A24" s="14">
        <f t="shared" si="1"/>
        <v>15</v>
      </c>
      <c r="B24" s="8"/>
      <c r="C24" s="15"/>
      <c r="D24" s="10"/>
      <c r="E24" s="32"/>
      <c r="F24" s="52"/>
      <c r="G24" s="18">
        <f t="shared" si="0"/>
        <v>-23</v>
      </c>
      <c r="H24" s="28"/>
      <c r="I24" s="29"/>
    </row>
    <row r="25" spans="1:14" ht="18" customHeight="1" x14ac:dyDescent="0.25">
      <c r="A25" s="14">
        <f t="shared" si="1"/>
        <v>16</v>
      </c>
      <c r="B25" s="8"/>
      <c r="C25" s="15"/>
      <c r="D25" s="10"/>
      <c r="E25" s="32"/>
      <c r="F25" s="52"/>
      <c r="G25" s="18">
        <f t="shared" si="0"/>
        <v>-23</v>
      </c>
      <c r="H25" s="28"/>
      <c r="I25" s="29"/>
    </row>
    <row r="26" spans="1:14" ht="18" customHeight="1" x14ac:dyDescent="0.25">
      <c r="A26" s="14">
        <f t="shared" si="1"/>
        <v>17</v>
      </c>
      <c r="B26" s="8"/>
      <c r="C26" s="15"/>
      <c r="D26" s="10"/>
      <c r="E26" s="32"/>
      <c r="F26" s="52"/>
      <c r="G26" s="18">
        <f t="shared" si="0"/>
        <v>-23</v>
      </c>
      <c r="H26" s="28"/>
      <c r="I26" s="29"/>
    </row>
    <row r="27" spans="1:14" ht="18" customHeight="1" x14ac:dyDescent="0.25">
      <c r="A27" s="14">
        <f t="shared" si="1"/>
        <v>18</v>
      </c>
      <c r="B27" s="8"/>
      <c r="C27" s="15"/>
      <c r="D27" s="10"/>
      <c r="E27" s="32"/>
      <c r="F27" s="27"/>
      <c r="G27" s="18">
        <f t="shared" si="0"/>
        <v>-23</v>
      </c>
      <c r="H27" s="28"/>
      <c r="I27" s="29"/>
      <c r="L27">
        <f>3160+1198</f>
        <v>4358</v>
      </c>
    </row>
    <row r="28" spans="1:14" ht="18" customHeight="1" x14ac:dyDescent="0.25">
      <c r="A28" s="14">
        <f t="shared" si="1"/>
        <v>19</v>
      </c>
      <c r="B28" s="8"/>
      <c r="C28" s="15"/>
      <c r="D28" s="10"/>
      <c r="E28" s="32"/>
      <c r="F28" s="27"/>
      <c r="G28" s="18">
        <f t="shared" si="0"/>
        <v>-23</v>
      </c>
      <c r="H28" s="28"/>
      <c r="I28" s="29"/>
      <c r="L28">
        <f>4370-L27</f>
        <v>12</v>
      </c>
    </row>
    <row r="29" spans="1:14" ht="18" customHeight="1" x14ac:dyDescent="0.25">
      <c r="A29" s="14">
        <f t="shared" si="1"/>
        <v>20</v>
      </c>
      <c r="B29" s="8"/>
      <c r="C29" s="15"/>
      <c r="D29" s="10"/>
      <c r="E29" s="32"/>
      <c r="F29" s="27"/>
      <c r="G29" s="18">
        <f t="shared" si="0"/>
        <v>-23</v>
      </c>
      <c r="H29" s="28"/>
      <c r="I29" s="29"/>
      <c r="K29" s="224">
        <f>857-E19</f>
        <v>232.20000000000005</v>
      </c>
    </row>
    <row r="30" spans="1:14" ht="18" customHeight="1" x14ac:dyDescent="0.25">
      <c r="A30" s="14">
        <f t="shared" si="1"/>
        <v>21</v>
      </c>
      <c r="B30" s="8"/>
      <c r="C30" s="15"/>
      <c r="D30" s="10"/>
      <c r="E30" s="32"/>
      <c r="F30" s="27"/>
      <c r="G30" s="18">
        <f t="shared" si="0"/>
        <v>-23</v>
      </c>
      <c r="H30" s="28"/>
      <c r="I30" s="29"/>
    </row>
    <row r="31" spans="1:14" ht="18" customHeight="1" x14ac:dyDescent="0.25">
      <c r="A31" s="14">
        <f t="shared" si="1"/>
        <v>22</v>
      </c>
      <c r="B31" s="8"/>
      <c r="C31" s="15"/>
      <c r="D31" s="10"/>
      <c r="E31" s="32"/>
      <c r="F31" s="27"/>
      <c r="G31" s="18">
        <f t="shared" si="0"/>
        <v>-23</v>
      </c>
      <c r="H31" s="28"/>
      <c r="I31" s="29"/>
    </row>
    <row r="32" spans="1:14" ht="18" customHeight="1" x14ac:dyDescent="0.25">
      <c r="A32" s="14">
        <f t="shared" si="1"/>
        <v>23</v>
      </c>
      <c r="B32" s="8"/>
      <c r="C32" s="15"/>
      <c r="D32" s="10"/>
      <c r="E32" s="32"/>
      <c r="F32" s="27"/>
      <c r="G32" s="18">
        <f t="shared" si="0"/>
        <v>-23</v>
      </c>
      <c r="H32" s="28"/>
      <c r="I32" s="29"/>
    </row>
    <row r="33" spans="1:9" ht="18" customHeight="1" x14ac:dyDescent="0.25">
      <c r="A33" s="14">
        <f t="shared" si="1"/>
        <v>24</v>
      </c>
      <c r="B33" s="8"/>
      <c r="C33" s="15"/>
      <c r="D33" s="10"/>
      <c r="E33" s="32"/>
      <c r="F33" s="27"/>
      <c r="G33" s="18">
        <f t="shared" si="0"/>
        <v>-23</v>
      </c>
      <c r="H33" s="28"/>
      <c r="I33" s="29"/>
    </row>
    <row r="34" spans="1:9" ht="18" customHeight="1" x14ac:dyDescent="0.25">
      <c r="A34" s="14">
        <f t="shared" si="1"/>
        <v>25</v>
      </c>
      <c r="B34" s="8"/>
      <c r="C34" s="15"/>
      <c r="D34" s="10"/>
      <c r="E34" s="32"/>
      <c r="F34" s="27"/>
      <c r="G34" s="18">
        <f t="shared" si="0"/>
        <v>-23</v>
      </c>
      <c r="H34" s="28"/>
      <c r="I34" s="29"/>
    </row>
    <row r="35" spans="1:9" ht="18" customHeight="1" x14ac:dyDescent="0.25">
      <c r="A35" s="14">
        <f t="shared" si="1"/>
        <v>26</v>
      </c>
      <c r="B35" s="8"/>
      <c r="C35" s="15"/>
      <c r="D35" s="10"/>
      <c r="E35" s="32"/>
      <c r="F35" s="27"/>
      <c r="G35" s="18">
        <f t="shared" si="0"/>
        <v>-23</v>
      </c>
      <c r="H35" s="28"/>
      <c r="I35" s="29"/>
    </row>
    <row r="36" spans="1:9" ht="18" customHeight="1" x14ac:dyDescent="0.25">
      <c r="A36" s="14">
        <f t="shared" si="1"/>
        <v>27</v>
      </c>
      <c r="B36" s="8"/>
      <c r="C36" s="15"/>
      <c r="D36" s="10"/>
      <c r="E36" s="32"/>
      <c r="F36" s="27"/>
      <c r="G36" s="18">
        <f t="shared" si="0"/>
        <v>-23</v>
      </c>
      <c r="H36" s="28"/>
      <c r="I36" s="29"/>
    </row>
    <row r="37" spans="1:9" ht="18" customHeight="1" x14ac:dyDescent="0.25">
      <c r="A37" s="14"/>
      <c r="B37" s="8"/>
      <c r="C37" s="15"/>
      <c r="D37" s="10"/>
      <c r="E37" s="32"/>
      <c r="F37" s="27"/>
      <c r="G37" s="18">
        <f t="shared" si="0"/>
        <v>-23</v>
      </c>
      <c r="H37" s="28"/>
      <c r="I37" s="29"/>
    </row>
    <row r="38" spans="1:9" ht="18" customHeight="1" x14ac:dyDescent="0.25">
      <c r="A38" s="14"/>
      <c r="B38" s="8"/>
      <c r="C38" s="15"/>
      <c r="D38" s="10"/>
      <c r="E38" s="32"/>
      <c r="F38" s="27"/>
      <c r="G38" s="18">
        <f t="shared" si="0"/>
        <v>-23</v>
      </c>
      <c r="H38" s="28"/>
      <c r="I38" s="29"/>
    </row>
    <row r="39" spans="1:9" ht="18" customHeight="1" x14ac:dyDescent="0.25">
      <c r="A39" s="14"/>
      <c r="B39" s="8"/>
      <c r="C39" s="15"/>
      <c r="D39" s="10"/>
      <c r="E39" s="32"/>
      <c r="F39" s="27"/>
      <c r="G39" s="18">
        <f t="shared" si="0"/>
        <v>-23</v>
      </c>
      <c r="H39" s="28"/>
      <c r="I39" s="29"/>
    </row>
    <row r="40" spans="1:9" ht="18" customHeight="1" x14ac:dyDescent="0.25">
      <c r="A40" s="14"/>
      <c r="B40" s="8"/>
      <c r="C40" s="15"/>
      <c r="D40" s="10"/>
      <c r="E40" s="32"/>
      <c r="F40" s="27"/>
      <c r="G40" s="18">
        <f t="shared" si="0"/>
        <v>-23</v>
      </c>
      <c r="H40" s="28"/>
      <c r="I40" s="29"/>
    </row>
    <row r="41" spans="1:9" ht="18" customHeight="1" x14ac:dyDescent="0.25">
      <c r="A41" s="14"/>
      <c r="B41" s="8"/>
      <c r="C41" s="15"/>
      <c r="D41" s="10"/>
      <c r="E41" s="32"/>
      <c r="F41" s="27"/>
      <c r="G41" s="18">
        <f t="shared" si="0"/>
        <v>-23</v>
      </c>
      <c r="H41" s="28"/>
      <c r="I41" s="29"/>
    </row>
    <row r="42" spans="1:9" ht="18" customHeight="1" x14ac:dyDescent="0.25">
      <c r="A42" s="14">
        <f>+A36+1</f>
        <v>28</v>
      </c>
      <c r="B42" s="8"/>
      <c r="C42" s="15"/>
      <c r="D42" s="10"/>
      <c r="E42" s="32"/>
      <c r="F42" s="27"/>
      <c r="G42" s="18">
        <f t="shared" si="0"/>
        <v>-23</v>
      </c>
      <c r="H42" s="28"/>
      <c r="I42" s="29"/>
    </row>
    <row r="43" spans="1:9" ht="18" customHeight="1" x14ac:dyDescent="0.25">
      <c r="A43" s="14">
        <f t="shared" si="1"/>
        <v>29</v>
      </c>
      <c r="B43" s="8"/>
      <c r="C43" s="15"/>
      <c r="D43" s="10"/>
      <c r="E43" s="32"/>
      <c r="F43" s="27"/>
      <c r="G43" s="18">
        <f t="shared" si="0"/>
        <v>-23</v>
      </c>
      <c r="H43" s="28"/>
      <c r="I43" s="29"/>
    </row>
    <row r="44" spans="1:9" ht="18" customHeight="1" x14ac:dyDescent="0.25">
      <c r="A44" s="14">
        <f t="shared" si="1"/>
        <v>30</v>
      </c>
      <c r="B44" s="8"/>
      <c r="C44" s="15"/>
      <c r="D44" s="10"/>
      <c r="E44" s="32"/>
      <c r="F44" s="27"/>
      <c r="G44" s="18">
        <f t="shared" si="0"/>
        <v>-23</v>
      </c>
      <c r="H44" s="28"/>
      <c r="I44" s="29"/>
    </row>
    <row r="45" spans="1:9" ht="18" customHeight="1" x14ac:dyDescent="0.25">
      <c r="A45" s="14">
        <f t="shared" si="1"/>
        <v>31</v>
      </c>
      <c r="B45" s="8"/>
      <c r="C45" s="15"/>
      <c r="D45" s="10"/>
      <c r="E45" s="32"/>
      <c r="F45" s="27"/>
      <c r="G45" s="18">
        <f t="shared" si="0"/>
        <v>-23</v>
      </c>
      <c r="H45" s="28"/>
      <c r="I45" s="29"/>
    </row>
    <row r="46" spans="1:9" ht="18" customHeight="1" x14ac:dyDescent="0.25">
      <c r="A46" s="14">
        <f t="shared" si="1"/>
        <v>32</v>
      </c>
      <c r="B46" s="8"/>
      <c r="C46" s="15"/>
      <c r="D46" s="10"/>
      <c r="E46" s="32"/>
      <c r="F46" s="27"/>
      <c r="G46" s="18">
        <f t="shared" si="0"/>
        <v>-23</v>
      </c>
      <c r="H46" s="28"/>
      <c r="I46" s="29"/>
    </row>
    <row r="47" spans="1:9" ht="15" customHeight="1" x14ac:dyDescent="0.25">
      <c r="A47" s="7"/>
      <c r="B47" s="33"/>
      <c r="C47" s="34" t="s">
        <v>13</v>
      </c>
      <c r="D47" s="7"/>
      <c r="E47" s="35">
        <f>SUM(E10:E46)</f>
        <v>9635.1999999999989</v>
      </c>
      <c r="F47" s="35">
        <f>SUM(F10:F46)</f>
        <v>9658.2000000000007</v>
      </c>
      <c r="G47" s="35">
        <f>+E47-F47+G9</f>
        <v>-23.000000000001819</v>
      </c>
      <c r="H47" s="35"/>
      <c r="I47" s="36"/>
    </row>
    <row r="48" spans="1:9" ht="15" customHeight="1" x14ac:dyDescent="0.25">
      <c r="B48" s="1"/>
      <c r="E48" s="26"/>
      <c r="F48" s="26"/>
    </row>
    <row r="49" spans="2:2" ht="15" customHeight="1" x14ac:dyDescent="0.25">
      <c r="B49" s="1"/>
    </row>
    <row r="50" spans="2:2" ht="15" customHeight="1" x14ac:dyDescent="0.25">
      <c r="B50" s="1"/>
    </row>
    <row r="51" spans="2:2" ht="15" customHeight="1" x14ac:dyDescent="0.25">
      <c r="B51" s="1"/>
    </row>
    <row r="52" spans="2:2" ht="15" customHeight="1" x14ac:dyDescent="0.25">
      <c r="B52" s="1"/>
    </row>
    <row r="53" spans="2:2" ht="15" customHeight="1" x14ac:dyDescent="0.25">
      <c r="B53" s="1"/>
    </row>
    <row r="54" spans="2:2" ht="15" customHeight="1" x14ac:dyDescent="0.25"/>
    <row r="55" spans="2:2" ht="15" customHeight="1" x14ac:dyDescent="0.25"/>
    <row r="56" spans="2:2" ht="15" customHeight="1" x14ac:dyDescent="0.25"/>
    <row r="57" spans="2:2" ht="15" customHeight="1" x14ac:dyDescent="0.25"/>
    <row r="58" spans="2:2" ht="15" customHeight="1" x14ac:dyDescent="0.25"/>
    <row r="59" spans="2:2" ht="15" customHeight="1" x14ac:dyDescent="0.25"/>
    <row r="60" spans="2:2" ht="15" customHeight="1" x14ac:dyDescent="0.25"/>
    <row r="61" spans="2:2" ht="15" customHeight="1" x14ac:dyDescent="0.25"/>
    <row r="62" spans="2:2" ht="15" customHeight="1" x14ac:dyDescent="0.25"/>
    <row r="63" spans="2:2" ht="15" customHeight="1" x14ac:dyDescent="0.25"/>
    <row r="64" spans="2:2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</sheetData>
  <mergeCells count="1">
    <mergeCell ref="A4:I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11FB-727C-4BE3-BC49-FB6628E54759}">
  <sheetPr codeName="Sheet11"/>
  <dimension ref="A1:J88"/>
  <sheetViews>
    <sheetView workbookViewId="0">
      <selection activeCell="F24" sqref="F24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5703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271" t="s">
        <v>2</v>
      </c>
      <c r="B4" s="271"/>
      <c r="C4" s="271"/>
      <c r="D4" s="271"/>
      <c r="E4" s="271"/>
      <c r="F4" s="271"/>
      <c r="G4" s="271"/>
      <c r="H4" s="271"/>
      <c r="I4" s="271"/>
    </row>
    <row r="5" spans="1:10" x14ac:dyDescent="0.25">
      <c r="A5" s="271"/>
      <c r="B5" s="271"/>
      <c r="C5" s="271"/>
      <c r="D5" s="271"/>
      <c r="E5" s="271"/>
      <c r="F5" s="271"/>
      <c r="G5" s="271"/>
      <c r="H5" s="271"/>
      <c r="I5" s="271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31</v>
      </c>
      <c r="D8" s="4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/>
      <c r="C9" s="9" t="s">
        <v>11</v>
      </c>
      <c r="D9" s="10"/>
      <c r="E9" s="11"/>
      <c r="F9" s="12"/>
      <c r="G9" s="51"/>
      <c r="H9" s="7"/>
      <c r="I9" s="7"/>
    </row>
    <row r="10" spans="1:10" ht="18" customHeight="1" x14ac:dyDescent="0.25">
      <c r="A10" s="14">
        <v>1</v>
      </c>
      <c r="B10" s="8">
        <v>45712</v>
      </c>
      <c r="C10" s="15" t="s">
        <v>66</v>
      </c>
      <c r="D10" s="10" t="s">
        <v>21</v>
      </c>
      <c r="E10" s="16">
        <v>2342</v>
      </c>
      <c r="F10" s="52"/>
      <c r="G10" s="18">
        <f t="shared" ref="G10:G46" si="0">+G9+E10-F10</f>
        <v>2342</v>
      </c>
      <c r="H10" s="18" t="s">
        <v>26</v>
      </c>
      <c r="I10" s="7">
        <v>3</v>
      </c>
      <c r="J10" s="26"/>
    </row>
    <row r="11" spans="1:10" ht="18" customHeight="1" x14ac:dyDescent="0.25">
      <c r="A11" s="106">
        <f t="shared" ref="A11:A46" si="1">+A10+1</f>
        <v>2</v>
      </c>
      <c r="B11" s="107">
        <v>45713</v>
      </c>
      <c r="C11" s="171"/>
      <c r="D11" s="159" t="s">
        <v>21</v>
      </c>
      <c r="E11" s="173"/>
      <c r="F11" s="31">
        <v>798</v>
      </c>
      <c r="G11" s="110">
        <f t="shared" si="0"/>
        <v>1544</v>
      </c>
      <c r="H11" s="110" t="s">
        <v>26</v>
      </c>
      <c r="I11" s="174"/>
      <c r="J11" t="s">
        <v>68</v>
      </c>
    </row>
    <row r="12" spans="1:10" ht="18" customHeight="1" x14ac:dyDescent="0.25">
      <c r="A12" s="14">
        <f t="shared" si="1"/>
        <v>3</v>
      </c>
      <c r="B12" s="8">
        <v>45730</v>
      </c>
      <c r="C12" s="15"/>
      <c r="D12" s="10" t="s">
        <v>21</v>
      </c>
      <c r="E12" s="16"/>
      <c r="F12" s="53">
        <v>1544</v>
      </c>
      <c r="G12" s="18">
        <f t="shared" si="0"/>
        <v>0</v>
      </c>
      <c r="H12" s="18" t="s">
        <v>26</v>
      </c>
      <c r="I12" s="7"/>
    </row>
    <row r="13" spans="1:10" ht="18" customHeight="1" x14ac:dyDescent="0.25">
      <c r="A13" s="14">
        <f t="shared" si="1"/>
        <v>4</v>
      </c>
      <c r="B13" s="8">
        <v>45748</v>
      </c>
      <c r="C13" s="15" t="s">
        <v>52</v>
      </c>
      <c r="D13" s="10" t="s">
        <v>21</v>
      </c>
      <c r="E13" s="16"/>
      <c r="F13" s="53"/>
      <c r="G13" s="18">
        <f t="shared" si="0"/>
        <v>0</v>
      </c>
      <c r="H13" s="18" t="s">
        <v>26</v>
      </c>
      <c r="I13" s="7"/>
    </row>
    <row r="14" spans="1:10" ht="18" customHeight="1" x14ac:dyDescent="0.25">
      <c r="A14" s="14">
        <f t="shared" si="1"/>
        <v>5</v>
      </c>
      <c r="B14" s="8"/>
      <c r="C14" s="15"/>
      <c r="D14" s="10" t="s">
        <v>21</v>
      </c>
      <c r="E14" s="16"/>
      <c r="F14" s="53"/>
      <c r="G14" s="18">
        <f t="shared" si="0"/>
        <v>0</v>
      </c>
      <c r="H14" s="18" t="s">
        <v>26</v>
      </c>
      <c r="I14" s="7"/>
    </row>
    <row r="15" spans="1:10" ht="18" customHeight="1" x14ac:dyDescent="0.25">
      <c r="A15" s="14">
        <f t="shared" si="1"/>
        <v>6</v>
      </c>
      <c r="B15" s="8"/>
      <c r="C15" s="15"/>
      <c r="D15" s="10" t="s">
        <v>21</v>
      </c>
      <c r="E15" s="16"/>
      <c r="F15" s="53"/>
      <c r="G15" s="18">
        <f t="shared" si="0"/>
        <v>0</v>
      </c>
      <c r="H15" s="18" t="s">
        <v>26</v>
      </c>
      <c r="I15" s="7" t="s">
        <v>25</v>
      </c>
      <c r="J15" t="s">
        <v>15</v>
      </c>
    </row>
    <row r="16" spans="1:10" ht="18" customHeight="1" x14ac:dyDescent="0.25">
      <c r="A16" s="14">
        <f t="shared" si="1"/>
        <v>7</v>
      </c>
      <c r="B16" s="8"/>
      <c r="C16" s="15"/>
      <c r="D16" s="10"/>
      <c r="E16" s="16"/>
      <c r="F16" s="53"/>
      <c r="G16" s="18">
        <f t="shared" si="0"/>
        <v>0</v>
      </c>
      <c r="H16" s="28"/>
      <c r="I16" s="29"/>
      <c r="J16" s="26"/>
    </row>
    <row r="17" spans="1:9" ht="18" customHeight="1" x14ac:dyDescent="0.25">
      <c r="A17" s="14">
        <f t="shared" si="1"/>
        <v>8</v>
      </c>
      <c r="B17" s="8"/>
      <c r="C17" s="15"/>
      <c r="D17" s="10"/>
      <c r="E17" s="16"/>
      <c r="F17" s="53"/>
      <c r="G17" s="18">
        <f t="shared" si="0"/>
        <v>0</v>
      </c>
      <c r="H17" s="28"/>
      <c r="I17" s="38"/>
    </row>
    <row r="18" spans="1:9" ht="18" customHeight="1" x14ac:dyDescent="0.25">
      <c r="A18" s="14">
        <f t="shared" si="1"/>
        <v>9</v>
      </c>
      <c r="B18" s="8"/>
      <c r="C18" s="15"/>
      <c r="D18" s="10"/>
      <c r="E18" s="16"/>
      <c r="F18" s="53"/>
      <c r="G18" s="18">
        <f t="shared" si="0"/>
        <v>0</v>
      </c>
      <c r="H18" s="28"/>
      <c r="I18" s="38"/>
    </row>
    <row r="19" spans="1:9" ht="18" customHeight="1" x14ac:dyDescent="0.25">
      <c r="A19" s="14">
        <f t="shared" si="1"/>
        <v>10</v>
      </c>
      <c r="B19" s="44"/>
      <c r="C19" s="15"/>
      <c r="D19" s="10"/>
      <c r="E19" s="16"/>
      <c r="F19" s="52"/>
      <c r="G19" s="18">
        <f t="shared" si="0"/>
        <v>0</v>
      </c>
      <c r="H19" s="28"/>
      <c r="I19" s="38"/>
    </row>
    <row r="20" spans="1:9" ht="18" customHeight="1" x14ac:dyDescent="0.25">
      <c r="A20" s="14">
        <f t="shared" si="1"/>
        <v>11</v>
      </c>
      <c r="B20" s="44"/>
      <c r="C20" s="15"/>
      <c r="D20" s="10"/>
      <c r="E20" s="30"/>
      <c r="F20" s="52"/>
      <c r="G20" s="18">
        <f t="shared" si="0"/>
        <v>0</v>
      </c>
      <c r="H20" s="28"/>
      <c r="I20" s="38"/>
    </row>
    <row r="21" spans="1:9" ht="18" customHeight="1" x14ac:dyDescent="0.25">
      <c r="A21" s="14">
        <f t="shared" si="1"/>
        <v>12</v>
      </c>
      <c r="B21" s="8"/>
      <c r="C21" s="15"/>
      <c r="D21" s="10"/>
      <c r="E21" s="16"/>
      <c r="F21" s="52"/>
      <c r="G21" s="18">
        <f t="shared" si="0"/>
        <v>0</v>
      </c>
      <c r="H21" s="28"/>
      <c r="I21" s="38"/>
    </row>
    <row r="22" spans="1:9" ht="18" customHeight="1" x14ac:dyDescent="0.25">
      <c r="A22" s="14">
        <f t="shared" si="1"/>
        <v>13</v>
      </c>
      <c r="B22" s="8"/>
      <c r="C22" s="15"/>
      <c r="D22" s="10"/>
      <c r="E22" s="16"/>
      <c r="F22" s="52"/>
      <c r="G22" s="18">
        <f t="shared" si="0"/>
        <v>0</v>
      </c>
      <c r="H22" s="28"/>
      <c r="I22" s="29"/>
    </row>
    <row r="23" spans="1:9" ht="18" customHeight="1" x14ac:dyDescent="0.25">
      <c r="A23" s="14">
        <f t="shared" si="1"/>
        <v>14</v>
      </c>
      <c r="B23" s="8"/>
      <c r="C23" s="15"/>
      <c r="D23" s="10"/>
      <c r="E23" s="16"/>
      <c r="F23" s="52"/>
      <c r="G23" s="18">
        <f t="shared" si="0"/>
        <v>0</v>
      </c>
      <c r="H23" s="28"/>
      <c r="I23" s="29"/>
    </row>
    <row r="24" spans="1:9" ht="18" customHeight="1" x14ac:dyDescent="0.25">
      <c r="A24" s="14">
        <f t="shared" si="1"/>
        <v>15</v>
      </c>
      <c r="B24" s="8"/>
      <c r="C24" s="15"/>
      <c r="D24" s="10"/>
      <c r="E24" s="32"/>
      <c r="F24" s="52"/>
      <c r="G24" s="18">
        <f t="shared" si="0"/>
        <v>0</v>
      </c>
      <c r="H24" s="28"/>
      <c r="I24" s="29"/>
    </row>
    <row r="25" spans="1:9" ht="18" customHeight="1" x14ac:dyDescent="0.25">
      <c r="A25" s="14">
        <f t="shared" si="1"/>
        <v>16</v>
      </c>
      <c r="B25" s="8"/>
      <c r="C25" s="15"/>
      <c r="D25" s="10"/>
      <c r="E25" s="32"/>
      <c r="F25" s="52"/>
      <c r="G25" s="18">
        <f t="shared" si="0"/>
        <v>0</v>
      </c>
      <c r="H25" s="28"/>
      <c r="I25" s="29"/>
    </row>
    <row r="26" spans="1:9" ht="18" customHeight="1" x14ac:dyDescent="0.25">
      <c r="A26" s="14">
        <f t="shared" si="1"/>
        <v>17</v>
      </c>
      <c r="B26" s="8"/>
      <c r="C26" s="15"/>
      <c r="D26" s="10"/>
      <c r="E26" s="32"/>
      <c r="F26" s="52"/>
      <c r="G26" s="18">
        <f t="shared" si="0"/>
        <v>0</v>
      </c>
      <c r="H26" s="28"/>
      <c r="I26" s="29"/>
    </row>
    <row r="27" spans="1:9" ht="18" customHeight="1" x14ac:dyDescent="0.25">
      <c r="A27" s="14">
        <f t="shared" si="1"/>
        <v>18</v>
      </c>
      <c r="B27" s="8"/>
      <c r="C27" s="15"/>
      <c r="D27" s="10"/>
      <c r="E27" s="32"/>
      <c r="F27" s="27"/>
      <c r="G27" s="18">
        <f t="shared" si="0"/>
        <v>0</v>
      </c>
      <c r="H27" s="28"/>
      <c r="I27" s="29"/>
    </row>
    <row r="28" spans="1:9" ht="18" customHeight="1" x14ac:dyDescent="0.25">
      <c r="A28" s="14">
        <f t="shared" si="1"/>
        <v>19</v>
      </c>
      <c r="B28" s="8"/>
      <c r="C28" s="15"/>
      <c r="D28" s="10"/>
      <c r="E28" s="32"/>
      <c r="F28" s="27"/>
      <c r="G28" s="18">
        <f t="shared" si="0"/>
        <v>0</v>
      </c>
      <c r="H28" s="28"/>
      <c r="I28" s="29"/>
    </row>
    <row r="29" spans="1:9" ht="18" customHeight="1" x14ac:dyDescent="0.25">
      <c r="A29" s="14">
        <f t="shared" si="1"/>
        <v>20</v>
      </c>
      <c r="B29" s="8"/>
      <c r="C29" s="15"/>
      <c r="D29" s="10"/>
      <c r="E29" s="32"/>
      <c r="F29" s="27"/>
      <c r="G29" s="18">
        <f t="shared" si="0"/>
        <v>0</v>
      </c>
      <c r="H29" s="28"/>
      <c r="I29" s="29"/>
    </row>
    <row r="30" spans="1:9" ht="18" customHeight="1" x14ac:dyDescent="0.25">
      <c r="A30" s="14">
        <f t="shared" si="1"/>
        <v>21</v>
      </c>
      <c r="B30" s="8"/>
      <c r="C30" s="15"/>
      <c r="D30" s="10"/>
      <c r="E30" s="32"/>
      <c r="F30" s="27"/>
      <c r="G30" s="18">
        <f t="shared" si="0"/>
        <v>0</v>
      </c>
      <c r="H30" s="28"/>
      <c r="I30" s="29"/>
    </row>
    <row r="31" spans="1:9" ht="18" customHeight="1" x14ac:dyDescent="0.25">
      <c r="A31" s="14">
        <f t="shared" si="1"/>
        <v>22</v>
      </c>
      <c r="B31" s="8"/>
      <c r="C31" s="15"/>
      <c r="D31" s="10"/>
      <c r="E31" s="32"/>
      <c r="F31" s="27"/>
      <c r="G31" s="18">
        <f t="shared" si="0"/>
        <v>0</v>
      </c>
      <c r="H31" s="28"/>
      <c r="I31" s="29"/>
    </row>
    <row r="32" spans="1:9" ht="18" customHeight="1" x14ac:dyDescent="0.25">
      <c r="A32" s="14">
        <f t="shared" si="1"/>
        <v>23</v>
      </c>
      <c r="B32" s="8"/>
      <c r="C32" s="15"/>
      <c r="D32" s="10"/>
      <c r="E32" s="32"/>
      <c r="F32" s="27"/>
      <c r="G32" s="18">
        <f t="shared" si="0"/>
        <v>0</v>
      </c>
      <c r="H32" s="28"/>
      <c r="I32" s="29"/>
    </row>
    <row r="33" spans="1:9" ht="18" customHeight="1" x14ac:dyDescent="0.25">
      <c r="A33" s="14">
        <f t="shared" si="1"/>
        <v>24</v>
      </c>
      <c r="B33" s="8"/>
      <c r="C33" s="15"/>
      <c r="D33" s="10"/>
      <c r="E33" s="32"/>
      <c r="F33" s="27"/>
      <c r="G33" s="18">
        <f t="shared" si="0"/>
        <v>0</v>
      </c>
      <c r="H33" s="28"/>
      <c r="I33" s="29"/>
    </row>
    <row r="34" spans="1:9" ht="18" customHeight="1" x14ac:dyDescent="0.25">
      <c r="A34" s="14">
        <f t="shared" si="1"/>
        <v>25</v>
      </c>
      <c r="B34" s="8"/>
      <c r="C34" s="15"/>
      <c r="D34" s="10"/>
      <c r="E34" s="32"/>
      <c r="F34" s="27"/>
      <c r="G34" s="18">
        <f t="shared" si="0"/>
        <v>0</v>
      </c>
      <c r="H34" s="28"/>
      <c r="I34" s="29"/>
    </row>
    <row r="35" spans="1:9" ht="18" customHeight="1" x14ac:dyDescent="0.25">
      <c r="A35" s="14">
        <f t="shared" si="1"/>
        <v>26</v>
      </c>
      <c r="B35" s="8"/>
      <c r="C35" s="15"/>
      <c r="D35" s="10"/>
      <c r="E35" s="32"/>
      <c r="F35" s="27"/>
      <c r="G35" s="18">
        <f t="shared" si="0"/>
        <v>0</v>
      </c>
      <c r="H35" s="28"/>
      <c r="I35" s="29"/>
    </row>
    <row r="36" spans="1:9" ht="18" customHeight="1" x14ac:dyDescent="0.25">
      <c r="A36" s="14">
        <f t="shared" si="1"/>
        <v>27</v>
      </c>
      <c r="B36" s="8"/>
      <c r="C36" s="15"/>
      <c r="D36" s="10"/>
      <c r="E36" s="32"/>
      <c r="F36" s="27"/>
      <c r="G36" s="18">
        <f t="shared" si="0"/>
        <v>0</v>
      </c>
      <c r="H36" s="28"/>
      <c r="I36" s="29"/>
    </row>
    <row r="37" spans="1:9" ht="18" customHeight="1" x14ac:dyDescent="0.25">
      <c r="A37" s="14"/>
      <c r="B37" s="8"/>
      <c r="C37" s="15"/>
      <c r="D37" s="10"/>
      <c r="E37" s="32"/>
      <c r="F37" s="27"/>
      <c r="G37" s="18">
        <f t="shared" si="0"/>
        <v>0</v>
      </c>
      <c r="H37" s="28"/>
      <c r="I37" s="29"/>
    </row>
    <row r="38" spans="1:9" ht="18" customHeight="1" x14ac:dyDescent="0.25">
      <c r="A38" s="14"/>
      <c r="B38" s="8"/>
      <c r="C38" s="15"/>
      <c r="D38" s="10"/>
      <c r="E38" s="32"/>
      <c r="F38" s="27"/>
      <c r="G38" s="18">
        <f t="shared" si="0"/>
        <v>0</v>
      </c>
      <c r="H38" s="28"/>
      <c r="I38" s="29"/>
    </row>
    <row r="39" spans="1:9" ht="18" customHeight="1" x14ac:dyDescent="0.25">
      <c r="A39" s="14"/>
      <c r="B39" s="8"/>
      <c r="C39" s="15"/>
      <c r="D39" s="10"/>
      <c r="E39" s="32"/>
      <c r="F39" s="27"/>
      <c r="G39" s="18">
        <f t="shared" si="0"/>
        <v>0</v>
      </c>
      <c r="H39" s="28"/>
      <c r="I39" s="29"/>
    </row>
    <row r="40" spans="1:9" ht="18" customHeight="1" x14ac:dyDescent="0.25">
      <c r="A40" s="14"/>
      <c r="B40" s="8"/>
      <c r="C40" s="15"/>
      <c r="D40" s="10"/>
      <c r="E40" s="32"/>
      <c r="F40" s="27"/>
      <c r="G40" s="18">
        <f t="shared" si="0"/>
        <v>0</v>
      </c>
      <c r="H40" s="28"/>
      <c r="I40" s="29"/>
    </row>
    <row r="41" spans="1:9" ht="18" customHeight="1" x14ac:dyDescent="0.25">
      <c r="A41" s="14"/>
      <c r="B41" s="8"/>
      <c r="C41" s="15"/>
      <c r="D41" s="10"/>
      <c r="E41" s="32"/>
      <c r="F41" s="27"/>
      <c r="G41" s="18">
        <f t="shared" si="0"/>
        <v>0</v>
      </c>
      <c r="H41" s="28"/>
      <c r="I41" s="29"/>
    </row>
    <row r="42" spans="1:9" ht="18" customHeight="1" x14ac:dyDescent="0.25">
      <c r="A42" s="14">
        <f>+A36+1</f>
        <v>28</v>
      </c>
      <c r="B42" s="8"/>
      <c r="C42" s="15"/>
      <c r="D42" s="10"/>
      <c r="E42" s="32"/>
      <c r="F42" s="27"/>
      <c r="G42" s="18">
        <f t="shared" si="0"/>
        <v>0</v>
      </c>
      <c r="H42" s="28"/>
      <c r="I42" s="29"/>
    </row>
    <row r="43" spans="1:9" ht="18" customHeight="1" x14ac:dyDescent="0.25">
      <c r="A43" s="14">
        <f t="shared" si="1"/>
        <v>29</v>
      </c>
      <c r="B43" s="8"/>
      <c r="C43" s="15"/>
      <c r="D43" s="10"/>
      <c r="E43" s="32"/>
      <c r="F43" s="27"/>
      <c r="G43" s="18">
        <f t="shared" si="0"/>
        <v>0</v>
      </c>
      <c r="H43" s="28"/>
      <c r="I43" s="29"/>
    </row>
    <row r="44" spans="1:9" ht="18" customHeight="1" x14ac:dyDescent="0.25">
      <c r="A44" s="14">
        <f t="shared" si="1"/>
        <v>30</v>
      </c>
      <c r="B44" s="8"/>
      <c r="C44" s="15"/>
      <c r="D44" s="10"/>
      <c r="E44" s="32"/>
      <c r="F44" s="27"/>
      <c r="G44" s="18">
        <f t="shared" si="0"/>
        <v>0</v>
      </c>
      <c r="H44" s="28"/>
      <c r="I44" s="29"/>
    </row>
    <row r="45" spans="1:9" ht="18" customHeight="1" x14ac:dyDescent="0.25">
      <c r="A45" s="14">
        <f t="shared" si="1"/>
        <v>31</v>
      </c>
      <c r="B45" s="8"/>
      <c r="C45" s="15"/>
      <c r="D45" s="10"/>
      <c r="E45" s="32"/>
      <c r="F45" s="27"/>
      <c r="G45" s="18">
        <f t="shared" si="0"/>
        <v>0</v>
      </c>
      <c r="H45" s="28"/>
      <c r="I45" s="29"/>
    </row>
    <row r="46" spans="1:9" ht="18" customHeight="1" x14ac:dyDescent="0.25">
      <c r="A46" s="14">
        <f t="shared" si="1"/>
        <v>32</v>
      </c>
      <c r="B46" s="8"/>
      <c r="C46" s="15"/>
      <c r="D46" s="10"/>
      <c r="E46" s="32"/>
      <c r="F46" s="27"/>
      <c r="G46" s="18">
        <f t="shared" si="0"/>
        <v>0</v>
      </c>
      <c r="H46" s="28"/>
      <c r="I46" s="29"/>
    </row>
    <row r="47" spans="1:9" ht="15" customHeight="1" x14ac:dyDescent="0.25">
      <c r="A47" s="7"/>
      <c r="B47" s="33"/>
      <c r="C47" s="34" t="s">
        <v>13</v>
      </c>
      <c r="D47" s="7"/>
      <c r="E47" s="35">
        <f>SUM(E10:E46)</f>
        <v>2342</v>
      </c>
      <c r="F47" s="35">
        <f>SUM(F10:F46)</f>
        <v>2342</v>
      </c>
      <c r="G47" s="35">
        <f>+E47-F47+G9</f>
        <v>0</v>
      </c>
      <c r="H47" s="35"/>
      <c r="I47" s="36"/>
    </row>
    <row r="48" spans="1:9" ht="15" customHeight="1" x14ac:dyDescent="0.25">
      <c r="B48" s="1"/>
      <c r="E48" s="26"/>
      <c r="F48" s="26"/>
    </row>
    <row r="49" spans="2:2" ht="15" customHeight="1" x14ac:dyDescent="0.25">
      <c r="B49" s="1"/>
    </row>
    <row r="50" spans="2:2" ht="15" customHeight="1" x14ac:dyDescent="0.25">
      <c r="B50" s="1"/>
    </row>
    <row r="51" spans="2:2" ht="15" customHeight="1" x14ac:dyDescent="0.25">
      <c r="B51" s="1"/>
    </row>
    <row r="52" spans="2:2" ht="15" customHeight="1" x14ac:dyDescent="0.25">
      <c r="B52" s="1"/>
    </row>
    <row r="53" spans="2:2" ht="15" customHeight="1" x14ac:dyDescent="0.25">
      <c r="B53" s="1"/>
    </row>
    <row r="54" spans="2:2" ht="15" customHeight="1" x14ac:dyDescent="0.25"/>
    <row r="55" spans="2:2" ht="15" customHeight="1" x14ac:dyDescent="0.25"/>
    <row r="56" spans="2:2" ht="15" customHeight="1" x14ac:dyDescent="0.25"/>
    <row r="57" spans="2:2" ht="15" customHeight="1" x14ac:dyDescent="0.25"/>
    <row r="58" spans="2:2" ht="15" customHeight="1" x14ac:dyDescent="0.25"/>
    <row r="59" spans="2:2" ht="15" customHeight="1" x14ac:dyDescent="0.25"/>
    <row r="60" spans="2:2" ht="15" customHeight="1" x14ac:dyDescent="0.25"/>
    <row r="61" spans="2:2" ht="15" customHeight="1" x14ac:dyDescent="0.25"/>
    <row r="62" spans="2:2" ht="15" customHeight="1" x14ac:dyDescent="0.25"/>
    <row r="63" spans="2:2" ht="15" customHeight="1" x14ac:dyDescent="0.25"/>
    <row r="64" spans="2:2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</sheetData>
  <mergeCells count="1">
    <mergeCell ref="A4:I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BD7E0-11D7-4412-AE3D-79EAD8136B96}">
  <sheetPr codeName="Sheet12"/>
  <dimension ref="A1:L88"/>
  <sheetViews>
    <sheetView workbookViewId="0">
      <selection activeCell="L24" sqref="L24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5703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271" t="s">
        <v>2</v>
      </c>
      <c r="B4" s="271"/>
      <c r="C4" s="271"/>
      <c r="D4" s="271"/>
      <c r="E4" s="271"/>
      <c r="F4" s="271"/>
      <c r="G4" s="271"/>
      <c r="H4" s="271"/>
      <c r="I4" s="271"/>
    </row>
    <row r="5" spans="1:10" x14ac:dyDescent="0.25">
      <c r="A5" s="271"/>
      <c r="B5" s="271"/>
      <c r="C5" s="271"/>
      <c r="D5" s="271"/>
      <c r="E5" s="271"/>
      <c r="F5" s="271"/>
      <c r="G5" s="271"/>
      <c r="H5" s="271"/>
      <c r="I5" s="271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31</v>
      </c>
      <c r="D8" s="4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/>
      <c r="C9" s="9" t="s">
        <v>11</v>
      </c>
      <c r="D9" s="10" t="s">
        <v>19</v>
      </c>
      <c r="E9" s="11"/>
      <c r="F9" s="12"/>
      <c r="G9" s="51"/>
      <c r="H9" s="7"/>
      <c r="I9" s="7"/>
    </row>
    <row r="10" spans="1:10" ht="18" customHeight="1" x14ac:dyDescent="0.25">
      <c r="A10" s="14">
        <v>1</v>
      </c>
      <c r="B10" s="8"/>
      <c r="C10" s="15" t="s">
        <v>62</v>
      </c>
      <c r="D10" s="10" t="s">
        <v>19</v>
      </c>
      <c r="E10" s="16">
        <v>3568</v>
      </c>
      <c r="F10" s="52"/>
      <c r="G10" s="18">
        <f t="shared" ref="G10:G46" si="0">+G9+E10-F10</f>
        <v>3568</v>
      </c>
      <c r="H10" s="18" t="s">
        <v>26</v>
      </c>
      <c r="I10" s="7">
        <v>5</v>
      </c>
      <c r="J10" s="26"/>
    </row>
    <row r="11" spans="1:10" ht="18" customHeight="1" x14ac:dyDescent="0.25">
      <c r="A11" s="14">
        <f t="shared" ref="A11:A46" si="1">+A10+1</f>
        <v>2</v>
      </c>
      <c r="B11" s="8">
        <v>45730</v>
      </c>
      <c r="C11" s="15"/>
      <c r="D11" s="10" t="s">
        <v>19</v>
      </c>
      <c r="E11" s="16">
        <f>788-9</f>
        <v>779</v>
      </c>
      <c r="F11" s="52"/>
      <c r="G11" s="18">
        <f t="shared" si="0"/>
        <v>4347</v>
      </c>
      <c r="H11" s="18" t="s">
        <v>26</v>
      </c>
      <c r="I11" s="7"/>
    </row>
    <row r="12" spans="1:10" ht="18" customHeight="1" x14ac:dyDescent="0.25">
      <c r="A12" s="14">
        <f t="shared" si="1"/>
        <v>3</v>
      </c>
      <c r="B12" s="8">
        <v>45736</v>
      </c>
      <c r="C12" s="15"/>
      <c r="D12" s="10" t="s">
        <v>19</v>
      </c>
      <c r="E12" s="16"/>
      <c r="F12" s="53">
        <v>2191</v>
      </c>
      <c r="G12" s="18">
        <f t="shared" si="0"/>
        <v>2156</v>
      </c>
      <c r="H12" s="18" t="s">
        <v>26</v>
      </c>
      <c r="I12" s="7">
        <v>3</v>
      </c>
    </row>
    <row r="13" spans="1:10" ht="18" customHeight="1" x14ac:dyDescent="0.25">
      <c r="A13" s="14">
        <f t="shared" si="1"/>
        <v>4</v>
      </c>
      <c r="B13" s="8">
        <v>45748</v>
      </c>
      <c r="C13" s="15"/>
      <c r="D13" s="10" t="s">
        <v>19</v>
      </c>
      <c r="E13" s="16">
        <f>972+948+1011+940+840+955.4+972+948</f>
        <v>7586.4</v>
      </c>
      <c r="F13" s="53"/>
      <c r="G13" s="18">
        <f t="shared" si="0"/>
        <v>9742.4</v>
      </c>
      <c r="H13" s="18" t="s">
        <v>26</v>
      </c>
      <c r="I13" s="7" t="s">
        <v>25</v>
      </c>
    </row>
    <row r="14" spans="1:10" ht="18" customHeight="1" x14ac:dyDescent="0.25">
      <c r="A14" s="14">
        <f t="shared" si="1"/>
        <v>5</v>
      </c>
      <c r="B14" s="8">
        <v>45750</v>
      </c>
      <c r="C14" s="15"/>
      <c r="D14" s="10" t="s">
        <v>19</v>
      </c>
      <c r="E14" s="16"/>
      <c r="F14" s="53">
        <v>3128</v>
      </c>
      <c r="G14" s="18">
        <f t="shared" si="0"/>
        <v>6614.4</v>
      </c>
      <c r="H14" s="18" t="s">
        <v>26</v>
      </c>
      <c r="I14" s="7" t="s">
        <v>25</v>
      </c>
    </row>
    <row r="15" spans="1:10" ht="18" customHeight="1" x14ac:dyDescent="0.25">
      <c r="A15" s="14">
        <f t="shared" si="1"/>
        <v>6</v>
      </c>
      <c r="B15" s="8">
        <v>45843</v>
      </c>
      <c r="C15" s="15" t="s">
        <v>126</v>
      </c>
      <c r="D15" s="10" t="s">
        <v>19</v>
      </c>
      <c r="E15" s="16"/>
      <c r="F15" s="53">
        <v>4780</v>
      </c>
      <c r="G15" s="18">
        <f t="shared" si="0"/>
        <v>1834.3999999999996</v>
      </c>
      <c r="H15" s="18" t="s">
        <v>26</v>
      </c>
      <c r="I15" s="7" t="s">
        <v>25</v>
      </c>
      <c r="J15" t="s">
        <v>15</v>
      </c>
    </row>
    <row r="16" spans="1:10" ht="18" customHeight="1" x14ac:dyDescent="0.25">
      <c r="A16" s="14">
        <f t="shared" si="1"/>
        <v>7</v>
      </c>
      <c r="B16" s="8"/>
      <c r="C16" s="15"/>
      <c r="D16" s="10"/>
      <c r="E16" s="16"/>
      <c r="F16" s="53"/>
      <c r="G16" s="18">
        <f t="shared" si="0"/>
        <v>1834.3999999999996</v>
      </c>
      <c r="H16" s="28"/>
      <c r="I16" s="29"/>
      <c r="J16" s="26"/>
    </row>
    <row r="17" spans="1:12" ht="18" customHeight="1" x14ac:dyDescent="0.25">
      <c r="A17" s="14">
        <f t="shared" si="1"/>
        <v>8</v>
      </c>
      <c r="B17" s="8"/>
      <c r="C17" s="15"/>
      <c r="D17" s="10"/>
      <c r="E17" s="16"/>
      <c r="F17" s="53"/>
      <c r="G17" s="18">
        <f t="shared" si="0"/>
        <v>1834.3999999999996</v>
      </c>
      <c r="H17" s="28"/>
      <c r="I17" s="38"/>
    </row>
    <row r="18" spans="1:12" ht="18" customHeight="1" x14ac:dyDescent="0.25">
      <c r="A18" s="14">
        <f t="shared" si="1"/>
        <v>9</v>
      </c>
      <c r="B18" s="8"/>
      <c r="C18" s="15"/>
      <c r="D18" s="10"/>
      <c r="E18" s="16"/>
      <c r="F18" s="53"/>
      <c r="G18" s="18">
        <f t="shared" si="0"/>
        <v>1834.3999999999996</v>
      </c>
      <c r="H18" s="28"/>
      <c r="I18" s="38"/>
    </row>
    <row r="19" spans="1:12" ht="18" customHeight="1" x14ac:dyDescent="0.25">
      <c r="A19" s="14">
        <f t="shared" si="1"/>
        <v>10</v>
      </c>
      <c r="B19" s="44"/>
      <c r="C19" s="15"/>
      <c r="D19" s="10"/>
      <c r="E19" s="16"/>
      <c r="F19" s="52"/>
      <c r="G19" s="18">
        <f t="shared" si="0"/>
        <v>1834.3999999999996</v>
      </c>
      <c r="H19" s="28"/>
      <c r="I19" s="38"/>
    </row>
    <row r="20" spans="1:12" ht="18" customHeight="1" x14ac:dyDescent="0.25">
      <c r="A20" s="14">
        <f t="shared" si="1"/>
        <v>11</v>
      </c>
      <c r="B20" s="44"/>
      <c r="C20" s="15"/>
      <c r="D20" s="10"/>
      <c r="E20" s="30"/>
      <c r="F20" s="52"/>
      <c r="G20" s="18">
        <f t="shared" si="0"/>
        <v>1834.3999999999996</v>
      </c>
      <c r="H20" s="28"/>
      <c r="I20" s="38"/>
    </row>
    <row r="21" spans="1:12" ht="18" customHeight="1" x14ac:dyDescent="0.25">
      <c r="A21" s="14">
        <f t="shared" si="1"/>
        <v>12</v>
      </c>
      <c r="B21" s="8"/>
      <c r="C21" s="15"/>
      <c r="D21" s="10"/>
      <c r="E21" s="16"/>
      <c r="F21" s="52"/>
      <c r="G21" s="18">
        <f t="shared" si="0"/>
        <v>1834.3999999999996</v>
      </c>
      <c r="H21" s="28"/>
      <c r="I21" s="38"/>
    </row>
    <row r="22" spans="1:12" ht="18" customHeight="1" x14ac:dyDescent="0.25">
      <c r="A22" s="14">
        <f t="shared" si="1"/>
        <v>13</v>
      </c>
      <c r="B22" s="8"/>
      <c r="C22" s="15"/>
      <c r="D22" s="10"/>
      <c r="E22" s="16"/>
      <c r="F22" s="52"/>
      <c r="G22" s="18">
        <f t="shared" si="0"/>
        <v>1834.3999999999996</v>
      </c>
      <c r="H22" s="28"/>
      <c r="I22" s="29"/>
    </row>
    <row r="23" spans="1:12" ht="18" customHeight="1" x14ac:dyDescent="0.25">
      <c r="A23" s="14">
        <f t="shared" si="1"/>
        <v>14</v>
      </c>
      <c r="B23" s="8"/>
      <c r="C23" s="15"/>
      <c r="D23" s="10"/>
      <c r="E23" s="16"/>
      <c r="F23" s="52"/>
      <c r="G23" s="18">
        <f t="shared" si="0"/>
        <v>1834.3999999999996</v>
      </c>
      <c r="H23" s="28"/>
      <c r="I23" s="29"/>
      <c r="L23">
        <f>1011+840</f>
        <v>1851</v>
      </c>
    </row>
    <row r="24" spans="1:12" ht="18" customHeight="1" x14ac:dyDescent="0.25">
      <c r="A24" s="14">
        <f t="shared" si="1"/>
        <v>15</v>
      </c>
      <c r="B24" s="8"/>
      <c r="C24" s="15"/>
      <c r="D24" s="10"/>
      <c r="E24" s="32"/>
      <c r="F24" s="52"/>
      <c r="G24" s="18">
        <f t="shared" si="0"/>
        <v>1834.3999999999996</v>
      </c>
      <c r="H24" s="28"/>
      <c r="I24" s="29"/>
    </row>
    <row r="25" spans="1:12" ht="18" customHeight="1" x14ac:dyDescent="0.25">
      <c r="A25" s="14">
        <f t="shared" si="1"/>
        <v>16</v>
      </c>
      <c r="B25" s="8"/>
      <c r="C25" s="15"/>
      <c r="D25" s="10"/>
      <c r="E25" s="32"/>
      <c r="F25" s="52"/>
      <c r="G25" s="18">
        <f t="shared" si="0"/>
        <v>1834.3999999999996</v>
      </c>
      <c r="H25" s="28"/>
      <c r="I25" s="29"/>
    </row>
    <row r="26" spans="1:12" ht="18" customHeight="1" x14ac:dyDescent="0.25">
      <c r="A26" s="14">
        <f t="shared" si="1"/>
        <v>17</v>
      </c>
      <c r="B26" s="8"/>
      <c r="C26" s="15"/>
      <c r="D26" s="10"/>
      <c r="E26" s="32"/>
      <c r="F26" s="52"/>
      <c r="G26" s="18">
        <f t="shared" si="0"/>
        <v>1834.3999999999996</v>
      </c>
      <c r="H26" s="28"/>
      <c r="I26" s="29"/>
    </row>
    <row r="27" spans="1:12" ht="18" customHeight="1" x14ac:dyDescent="0.25">
      <c r="A27" s="14">
        <f t="shared" si="1"/>
        <v>18</v>
      </c>
      <c r="B27" s="8"/>
      <c r="C27" s="15"/>
      <c r="D27" s="10"/>
      <c r="E27" s="32"/>
      <c r="F27" s="27"/>
      <c r="G27" s="18">
        <f t="shared" si="0"/>
        <v>1834.3999999999996</v>
      </c>
      <c r="H27" s="28"/>
      <c r="I27" s="29"/>
    </row>
    <row r="28" spans="1:12" ht="18" customHeight="1" x14ac:dyDescent="0.25">
      <c r="A28" s="14">
        <f t="shared" si="1"/>
        <v>19</v>
      </c>
      <c r="B28" s="8"/>
      <c r="C28" s="15"/>
      <c r="D28" s="10"/>
      <c r="E28" s="32"/>
      <c r="F28" s="27"/>
      <c r="G28" s="18">
        <f t="shared" si="0"/>
        <v>1834.3999999999996</v>
      </c>
      <c r="H28" s="28"/>
      <c r="I28" s="29"/>
    </row>
    <row r="29" spans="1:12" ht="18" customHeight="1" x14ac:dyDescent="0.25">
      <c r="A29" s="14">
        <f t="shared" si="1"/>
        <v>20</v>
      </c>
      <c r="B29" s="8"/>
      <c r="C29" s="15"/>
      <c r="D29" s="10"/>
      <c r="E29" s="32"/>
      <c r="F29" s="27"/>
      <c r="G29" s="18">
        <f t="shared" si="0"/>
        <v>1834.3999999999996</v>
      </c>
      <c r="H29" s="28"/>
      <c r="I29" s="29"/>
    </row>
    <row r="30" spans="1:12" ht="18" customHeight="1" x14ac:dyDescent="0.25">
      <c r="A30" s="14">
        <f t="shared" si="1"/>
        <v>21</v>
      </c>
      <c r="B30" s="8"/>
      <c r="C30" s="15"/>
      <c r="D30" s="10"/>
      <c r="E30" s="32"/>
      <c r="F30" s="27"/>
      <c r="G30" s="18">
        <f t="shared" si="0"/>
        <v>1834.3999999999996</v>
      </c>
      <c r="H30" s="28"/>
      <c r="I30" s="29"/>
    </row>
    <row r="31" spans="1:12" ht="18" customHeight="1" x14ac:dyDescent="0.25">
      <c r="A31" s="14">
        <f t="shared" si="1"/>
        <v>22</v>
      </c>
      <c r="B31" s="8"/>
      <c r="C31" s="15"/>
      <c r="D31" s="10"/>
      <c r="E31" s="32"/>
      <c r="F31" s="27"/>
      <c r="G31" s="18">
        <f t="shared" si="0"/>
        <v>1834.3999999999996</v>
      </c>
      <c r="H31" s="28"/>
      <c r="I31" s="29"/>
    </row>
    <row r="32" spans="1:12" ht="18" customHeight="1" x14ac:dyDescent="0.25">
      <c r="A32" s="14">
        <f t="shared" si="1"/>
        <v>23</v>
      </c>
      <c r="B32" s="8"/>
      <c r="C32" s="15"/>
      <c r="D32" s="10"/>
      <c r="E32" s="32"/>
      <c r="F32" s="27"/>
      <c r="G32" s="18">
        <f t="shared" si="0"/>
        <v>1834.3999999999996</v>
      </c>
      <c r="H32" s="28"/>
      <c r="I32" s="29"/>
    </row>
    <row r="33" spans="1:9" ht="18" customHeight="1" x14ac:dyDescent="0.25">
      <c r="A33" s="14">
        <f t="shared" si="1"/>
        <v>24</v>
      </c>
      <c r="B33" s="8"/>
      <c r="C33" s="15"/>
      <c r="D33" s="10"/>
      <c r="E33" s="32"/>
      <c r="F33" s="27"/>
      <c r="G33" s="18">
        <f t="shared" si="0"/>
        <v>1834.3999999999996</v>
      </c>
      <c r="H33" s="28"/>
      <c r="I33" s="29"/>
    </row>
    <row r="34" spans="1:9" ht="18" customHeight="1" x14ac:dyDescent="0.25">
      <c r="A34" s="14">
        <f t="shared" si="1"/>
        <v>25</v>
      </c>
      <c r="B34" s="8"/>
      <c r="C34" s="15"/>
      <c r="D34" s="10"/>
      <c r="E34" s="32"/>
      <c r="F34" s="27"/>
      <c r="G34" s="18">
        <f t="shared" si="0"/>
        <v>1834.3999999999996</v>
      </c>
      <c r="H34" s="28"/>
      <c r="I34" s="29"/>
    </row>
    <row r="35" spans="1:9" ht="18" customHeight="1" x14ac:dyDescent="0.25">
      <c r="A35" s="14">
        <f t="shared" si="1"/>
        <v>26</v>
      </c>
      <c r="B35" s="8"/>
      <c r="C35" s="15"/>
      <c r="D35" s="10"/>
      <c r="E35" s="32"/>
      <c r="F35" s="27"/>
      <c r="G35" s="18">
        <f t="shared" si="0"/>
        <v>1834.3999999999996</v>
      </c>
      <c r="H35" s="28"/>
      <c r="I35" s="29"/>
    </row>
    <row r="36" spans="1:9" ht="18" customHeight="1" x14ac:dyDescent="0.25">
      <c r="A36" s="14">
        <f t="shared" si="1"/>
        <v>27</v>
      </c>
      <c r="B36" s="8"/>
      <c r="C36" s="15"/>
      <c r="D36" s="10"/>
      <c r="E36" s="32"/>
      <c r="F36" s="27"/>
      <c r="G36" s="18">
        <f t="shared" si="0"/>
        <v>1834.3999999999996</v>
      </c>
      <c r="H36" s="28"/>
      <c r="I36" s="29"/>
    </row>
    <row r="37" spans="1:9" ht="18" customHeight="1" x14ac:dyDescent="0.25">
      <c r="A37" s="14"/>
      <c r="B37" s="8"/>
      <c r="C37" s="15"/>
      <c r="D37" s="10"/>
      <c r="E37" s="32"/>
      <c r="F37" s="27"/>
      <c r="G37" s="18">
        <f t="shared" si="0"/>
        <v>1834.3999999999996</v>
      </c>
      <c r="H37" s="28"/>
      <c r="I37" s="29"/>
    </row>
    <row r="38" spans="1:9" ht="18" customHeight="1" x14ac:dyDescent="0.25">
      <c r="A38" s="14"/>
      <c r="B38" s="8"/>
      <c r="C38" s="15"/>
      <c r="D38" s="10"/>
      <c r="E38" s="32"/>
      <c r="F38" s="27"/>
      <c r="G38" s="18">
        <f t="shared" si="0"/>
        <v>1834.3999999999996</v>
      </c>
      <c r="H38" s="28"/>
      <c r="I38" s="29"/>
    </row>
    <row r="39" spans="1:9" ht="18" customHeight="1" x14ac:dyDescent="0.25">
      <c r="A39" s="14"/>
      <c r="B39" s="8"/>
      <c r="C39" s="15"/>
      <c r="D39" s="10"/>
      <c r="E39" s="32"/>
      <c r="F39" s="27"/>
      <c r="G39" s="18">
        <f t="shared" si="0"/>
        <v>1834.3999999999996</v>
      </c>
      <c r="H39" s="28"/>
      <c r="I39" s="29"/>
    </row>
    <row r="40" spans="1:9" ht="18" customHeight="1" x14ac:dyDescent="0.25">
      <c r="A40" s="14"/>
      <c r="B40" s="8"/>
      <c r="C40" s="15"/>
      <c r="D40" s="10"/>
      <c r="E40" s="32"/>
      <c r="F40" s="27"/>
      <c r="G40" s="18">
        <f t="shared" si="0"/>
        <v>1834.3999999999996</v>
      </c>
      <c r="H40" s="28"/>
      <c r="I40" s="29"/>
    </row>
    <row r="41" spans="1:9" ht="18" customHeight="1" x14ac:dyDescent="0.25">
      <c r="A41" s="14"/>
      <c r="B41" s="8"/>
      <c r="C41" s="15"/>
      <c r="D41" s="10"/>
      <c r="E41" s="32"/>
      <c r="F41" s="27"/>
      <c r="G41" s="18">
        <f t="shared" si="0"/>
        <v>1834.3999999999996</v>
      </c>
      <c r="H41" s="28"/>
      <c r="I41" s="29"/>
    </row>
    <row r="42" spans="1:9" ht="18" customHeight="1" x14ac:dyDescent="0.25">
      <c r="A42" s="14">
        <f>+A36+1</f>
        <v>28</v>
      </c>
      <c r="B42" s="8"/>
      <c r="C42" s="15"/>
      <c r="D42" s="10"/>
      <c r="E42" s="32"/>
      <c r="F42" s="27"/>
      <c r="G42" s="18">
        <f t="shared" si="0"/>
        <v>1834.3999999999996</v>
      </c>
      <c r="H42" s="28"/>
      <c r="I42" s="29"/>
    </row>
    <row r="43" spans="1:9" ht="18" customHeight="1" x14ac:dyDescent="0.25">
      <c r="A43" s="14">
        <f t="shared" si="1"/>
        <v>29</v>
      </c>
      <c r="B43" s="8"/>
      <c r="C43" s="15"/>
      <c r="D43" s="10"/>
      <c r="E43" s="32"/>
      <c r="F43" s="27"/>
      <c r="G43" s="18">
        <f t="shared" si="0"/>
        <v>1834.3999999999996</v>
      </c>
      <c r="H43" s="28"/>
      <c r="I43" s="29"/>
    </row>
    <row r="44" spans="1:9" ht="18" customHeight="1" x14ac:dyDescent="0.25">
      <c r="A44" s="14">
        <f t="shared" si="1"/>
        <v>30</v>
      </c>
      <c r="B44" s="8"/>
      <c r="C44" s="15"/>
      <c r="D44" s="10"/>
      <c r="E44" s="32"/>
      <c r="F44" s="27"/>
      <c r="G44" s="18">
        <f t="shared" si="0"/>
        <v>1834.3999999999996</v>
      </c>
      <c r="H44" s="28"/>
      <c r="I44" s="29"/>
    </row>
    <row r="45" spans="1:9" ht="18" customHeight="1" x14ac:dyDescent="0.25">
      <c r="A45" s="14">
        <f t="shared" si="1"/>
        <v>31</v>
      </c>
      <c r="B45" s="8"/>
      <c r="C45" s="15"/>
      <c r="D45" s="10"/>
      <c r="E45" s="32"/>
      <c r="F45" s="27"/>
      <c r="G45" s="18">
        <f t="shared" si="0"/>
        <v>1834.3999999999996</v>
      </c>
      <c r="H45" s="28"/>
      <c r="I45" s="29"/>
    </row>
    <row r="46" spans="1:9" ht="18" customHeight="1" x14ac:dyDescent="0.25">
      <c r="A46" s="14">
        <f t="shared" si="1"/>
        <v>32</v>
      </c>
      <c r="B46" s="8"/>
      <c r="C46" s="15"/>
      <c r="D46" s="10"/>
      <c r="E46" s="32"/>
      <c r="F46" s="27"/>
      <c r="G46" s="18">
        <f t="shared" si="0"/>
        <v>1834.3999999999996</v>
      </c>
      <c r="H46" s="28"/>
      <c r="I46" s="29"/>
    </row>
    <row r="47" spans="1:9" ht="15" customHeight="1" x14ac:dyDescent="0.25">
      <c r="A47" s="7"/>
      <c r="B47" s="33"/>
      <c r="C47" s="34" t="s">
        <v>13</v>
      </c>
      <c r="D47" s="7"/>
      <c r="E47" s="35">
        <f>SUM(E10:E46)</f>
        <v>11933.4</v>
      </c>
      <c r="F47" s="35">
        <f>SUM(F10:F46)</f>
        <v>10099</v>
      </c>
      <c r="G47" s="35">
        <f>+E47-F47+G9</f>
        <v>1834.3999999999996</v>
      </c>
      <c r="H47" s="35"/>
      <c r="I47" s="36"/>
    </row>
    <row r="48" spans="1:9" ht="15" customHeight="1" x14ac:dyDescent="0.25">
      <c r="B48" s="1"/>
      <c r="E48" s="26"/>
      <c r="F48" s="26"/>
    </row>
    <row r="49" spans="2:2" ht="15" customHeight="1" x14ac:dyDescent="0.25">
      <c r="B49" s="1"/>
    </row>
    <row r="50" spans="2:2" ht="15" customHeight="1" x14ac:dyDescent="0.25">
      <c r="B50" s="1"/>
    </row>
    <row r="51" spans="2:2" ht="15" customHeight="1" x14ac:dyDescent="0.25">
      <c r="B51" s="1"/>
    </row>
    <row r="52" spans="2:2" ht="15" customHeight="1" x14ac:dyDescent="0.25">
      <c r="B52" s="1"/>
    </row>
    <row r="53" spans="2:2" ht="15" customHeight="1" x14ac:dyDescent="0.25">
      <c r="B53" s="1"/>
    </row>
    <row r="54" spans="2:2" ht="15" customHeight="1" x14ac:dyDescent="0.25"/>
    <row r="55" spans="2:2" ht="15" customHeight="1" x14ac:dyDescent="0.25"/>
    <row r="56" spans="2:2" ht="15" customHeight="1" x14ac:dyDescent="0.25"/>
    <row r="57" spans="2:2" ht="15" customHeight="1" x14ac:dyDescent="0.25"/>
    <row r="58" spans="2:2" ht="15" customHeight="1" x14ac:dyDescent="0.25"/>
    <row r="59" spans="2:2" ht="15" customHeight="1" x14ac:dyDescent="0.25"/>
    <row r="60" spans="2:2" ht="15" customHeight="1" x14ac:dyDescent="0.25"/>
    <row r="61" spans="2:2" ht="15" customHeight="1" x14ac:dyDescent="0.25"/>
    <row r="62" spans="2:2" ht="15" customHeight="1" x14ac:dyDescent="0.25"/>
    <row r="63" spans="2:2" ht="15" customHeight="1" x14ac:dyDescent="0.25"/>
    <row r="64" spans="2:2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</sheetData>
  <mergeCells count="1">
    <mergeCell ref="A4:I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03EB-3176-4197-A1DA-B2630C7E88CD}">
  <sheetPr codeName="Sheet13"/>
  <dimension ref="A1:O88"/>
  <sheetViews>
    <sheetView workbookViewId="0">
      <selection activeCell="G16" sqref="G16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5703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271" t="s">
        <v>2</v>
      </c>
      <c r="B4" s="271"/>
      <c r="C4" s="271"/>
      <c r="D4" s="271"/>
      <c r="E4" s="271"/>
      <c r="F4" s="271"/>
      <c r="G4" s="271"/>
      <c r="H4" s="271"/>
      <c r="I4" s="271"/>
    </row>
    <row r="5" spans="1:10" x14ac:dyDescent="0.25">
      <c r="A5" s="271"/>
      <c r="B5" s="271"/>
      <c r="C5" s="271"/>
      <c r="D5" s="271"/>
      <c r="E5" s="271"/>
      <c r="F5" s="271"/>
      <c r="G5" s="271"/>
      <c r="H5" s="271"/>
      <c r="I5" s="271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31</v>
      </c>
      <c r="D8" s="4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/>
      <c r="C9" s="9" t="s">
        <v>11</v>
      </c>
      <c r="D9" s="10"/>
      <c r="E9" s="11"/>
      <c r="F9" s="12"/>
      <c r="G9" s="51"/>
      <c r="H9" s="7"/>
      <c r="I9" s="7"/>
    </row>
    <row r="10" spans="1:10" ht="18" customHeight="1" x14ac:dyDescent="0.25">
      <c r="A10" s="14">
        <v>1</v>
      </c>
      <c r="B10" s="8">
        <v>45712</v>
      </c>
      <c r="C10" s="15" t="s">
        <v>63</v>
      </c>
      <c r="D10" s="10" t="s">
        <v>21</v>
      </c>
      <c r="E10" s="16">
        <v>2139</v>
      </c>
      <c r="F10" s="52"/>
      <c r="G10" s="18">
        <f t="shared" ref="G10:G46" si="0">+G9+E10-F10</f>
        <v>2139</v>
      </c>
      <c r="H10" s="18" t="s">
        <v>26</v>
      </c>
      <c r="I10" s="7">
        <v>3</v>
      </c>
      <c r="J10" s="26"/>
    </row>
    <row r="11" spans="1:10" ht="18" customHeight="1" x14ac:dyDescent="0.25">
      <c r="A11" s="14">
        <f t="shared" ref="A11:A46" si="1">+A10+1</f>
        <v>2</v>
      </c>
      <c r="B11" s="8">
        <v>45715</v>
      </c>
      <c r="C11" s="15"/>
      <c r="D11" s="10" t="s">
        <v>21</v>
      </c>
      <c r="E11" s="16"/>
      <c r="F11" s="52">
        <v>2139</v>
      </c>
      <c r="G11" s="18">
        <f t="shared" si="0"/>
        <v>0</v>
      </c>
      <c r="H11" s="18" t="s">
        <v>26</v>
      </c>
      <c r="I11" s="7"/>
    </row>
    <row r="12" spans="1:10" ht="18" customHeight="1" x14ac:dyDescent="0.25">
      <c r="A12" s="14">
        <f t="shared" si="1"/>
        <v>3</v>
      </c>
      <c r="B12" s="8">
        <v>45748</v>
      </c>
      <c r="C12" s="15"/>
      <c r="D12" s="10" t="s">
        <v>21</v>
      </c>
      <c r="E12" s="16">
        <v>3924</v>
      </c>
      <c r="F12" s="53"/>
      <c r="G12" s="18">
        <f t="shared" si="0"/>
        <v>3924</v>
      </c>
      <c r="H12" s="18" t="s">
        <v>26</v>
      </c>
      <c r="I12" s="7" t="s">
        <v>25</v>
      </c>
    </row>
    <row r="13" spans="1:10" ht="18" customHeight="1" x14ac:dyDescent="0.25">
      <c r="A13" s="14">
        <f t="shared" si="1"/>
        <v>4</v>
      </c>
      <c r="B13" s="8">
        <v>45769</v>
      </c>
      <c r="C13" s="15"/>
      <c r="D13" s="10" t="s">
        <v>21</v>
      </c>
      <c r="E13" s="16"/>
      <c r="F13" s="53">
        <v>764</v>
      </c>
      <c r="G13" s="18">
        <f t="shared" si="0"/>
        <v>3160</v>
      </c>
      <c r="H13" s="18" t="s">
        <v>26</v>
      </c>
      <c r="I13" s="7" t="s">
        <v>25</v>
      </c>
    </row>
    <row r="14" spans="1:10" ht="18" customHeight="1" x14ac:dyDescent="0.25">
      <c r="A14" s="14">
        <f t="shared" si="1"/>
        <v>5</v>
      </c>
      <c r="B14" s="8">
        <v>45815</v>
      </c>
      <c r="C14" s="15"/>
      <c r="D14" s="10" t="s">
        <v>21</v>
      </c>
      <c r="E14" s="16"/>
      <c r="F14" s="53">
        <f>781+766</f>
        <v>1547</v>
      </c>
      <c r="G14" s="18">
        <f t="shared" si="0"/>
        <v>1613</v>
      </c>
      <c r="H14" s="18" t="s">
        <v>26</v>
      </c>
      <c r="I14" s="7" t="s">
        <v>25</v>
      </c>
    </row>
    <row r="15" spans="1:10" ht="18" customHeight="1" x14ac:dyDescent="0.25">
      <c r="A15" s="14">
        <f t="shared" si="1"/>
        <v>6</v>
      </c>
      <c r="B15" s="8">
        <v>45828</v>
      </c>
      <c r="C15" s="15"/>
      <c r="D15" s="10" t="s">
        <v>21</v>
      </c>
      <c r="E15" s="16"/>
      <c r="F15" s="53">
        <v>1590</v>
      </c>
      <c r="G15" s="18">
        <f t="shared" si="0"/>
        <v>23</v>
      </c>
      <c r="H15" s="18" t="s">
        <v>26</v>
      </c>
      <c r="I15" s="7" t="s">
        <v>25</v>
      </c>
      <c r="J15" t="s">
        <v>15</v>
      </c>
    </row>
    <row r="16" spans="1:10" ht="18" customHeight="1" x14ac:dyDescent="0.25">
      <c r="A16" s="14">
        <f t="shared" si="1"/>
        <v>7</v>
      </c>
      <c r="B16" s="8"/>
      <c r="C16" s="15"/>
      <c r="D16" s="10"/>
      <c r="E16" s="16"/>
      <c r="F16" s="53"/>
      <c r="G16" s="18">
        <f t="shared" si="0"/>
        <v>23</v>
      </c>
      <c r="H16" s="28"/>
      <c r="I16" s="29"/>
      <c r="J16" s="26"/>
    </row>
    <row r="17" spans="1:15" ht="18" customHeight="1" x14ac:dyDescent="0.25">
      <c r="A17" s="14">
        <f t="shared" si="1"/>
        <v>8</v>
      </c>
      <c r="B17" s="8"/>
      <c r="C17" s="15"/>
      <c r="D17" s="10"/>
      <c r="E17" s="16"/>
      <c r="F17" s="53"/>
      <c r="G17" s="18">
        <f t="shared" si="0"/>
        <v>23</v>
      </c>
      <c r="H17" s="28"/>
      <c r="I17" s="38"/>
    </row>
    <row r="18" spans="1:15" ht="18" customHeight="1" x14ac:dyDescent="0.25">
      <c r="A18" s="14">
        <f t="shared" si="1"/>
        <v>9</v>
      </c>
      <c r="B18" s="8"/>
      <c r="C18" s="15"/>
      <c r="D18" s="10"/>
      <c r="E18" s="16"/>
      <c r="F18" s="53"/>
      <c r="G18" s="18">
        <f t="shared" si="0"/>
        <v>23</v>
      </c>
      <c r="H18" s="28"/>
      <c r="I18" s="38"/>
    </row>
    <row r="19" spans="1:15" ht="18" customHeight="1" x14ac:dyDescent="0.25">
      <c r="A19" s="14">
        <f t="shared" si="1"/>
        <v>10</v>
      </c>
      <c r="B19" s="44"/>
      <c r="C19" s="15"/>
      <c r="D19" s="10"/>
      <c r="E19" s="16"/>
      <c r="F19" s="52"/>
      <c r="G19" s="18">
        <f t="shared" si="0"/>
        <v>23</v>
      </c>
      <c r="H19" s="28"/>
      <c r="I19" s="38"/>
    </row>
    <row r="20" spans="1:15" ht="18" customHeight="1" x14ac:dyDescent="0.25">
      <c r="A20" s="14">
        <f t="shared" si="1"/>
        <v>11</v>
      </c>
      <c r="B20" s="44"/>
      <c r="C20" s="15"/>
      <c r="D20" s="10"/>
      <c r="E20" s="30"/>
      <c r="F20" s="52"/>
      <c r="G20" s="18">
        <f t="shared" si="0"/>
        <v>23</v>
      </c>
      <c r="H20" s="28"/>
      <c r="I20" s="38"/>
      <c r="L20">
        <f>3924+'Phôi DL 18,2L.700g'!L26+3924+1315</f>
        <v>9163</v>
      </c>
      <c r="O20">
        <f>5976+798+2139</f>
        <v>8913</v>
      </c>
    </row>
    <row r="21" spans="1:15" ht="18" customHeight="1" x14ac:dyDescent="0.25">
      <c r="A21" s="14">
        <f t="shared" si="1"/>
        <v>12</v>
      </c>
      <c r="B21" s="8"/>
      <c r="C21" s="15"/>
      <c r="D21" s="10"/>
      <c r="E21" s="16"/>
      <c r="F21" s="52"/>
      <c r="G21" s="18">
        <f t="shared" si="0"/>
        <v>23</v>
      </c>
      <c r="H21" s="28"/>
      <c r="I21" s="38"/>
    </row>
    <row r="22" spans="1:15" ht="18" customHeight="1" x14ac:dyDescent="0.25">
      <c r="A22" s="14">
        <f t="shared" si="1"/>
        <v>13</v>
      </c>
      <c r="B22" s="8"/>
      <c r="C22" s="15"/>
      <c r="D22" s="10"/>
      <c r="E22" s="16"/>
      <c r="F22" s="52"/>
      <c r="G22" s="18">
        <f t="shared" si="0"/>
        <v>23</v>
      </c>
      <c r="H22" s="28"/>
      <c r="I22" s="29"/>
    </row>
    <row r="23" spans="1:15" ht="18" customHeight="1" x14ac:dyDescent="0.25">
      <c r="A23" s="14">
        <f t="shared" si="1"/>
        <v>14</v>
      </c>
      <c r="B23" s="8"/>
      <c r="C23" s="15"/>
      <c r="D23" s="10"/>
      <c r="E23" s="16"/>
      <c r="F23" s="52"/>
      <c r="G23" s="18">
        <f t="shared" si="0"/>
        <v>23</v>
      </c>
      <c r="H23" s="28"/>
      <c r="I23" s="29"/>
    </row>
    <row r="24" spans="1:15" ht="18" customHeight="1" x14ac:dyDescent="0.25">
      <c r="A24" s="14">
        <f t="shared" si="1"/>
        <v>15</v>
      </c>
      <c r="B24" s="8"/>
      <c r="C24" s="15"/>
      <c r="D24" s="10"/>
      <c r="E24" s="32"/>
      <c r="F24" s="52"/>
      <c r="G24" s="18">
        <f t="shared" si="0"/>
        <v>23</v>
      </c>
      <c r="H24" s="28"/>
      <c r="I24" s="29"/>
    </row>
    <row r="25" spans="1:15" ht="18" customHeight="1" x14ac:dyDescent="0.25">
      <c r="A25" s="14">
        <f t="shared" si="1"/>
        <v>16</v>
      </c>
      <c r="B25" s="8"/>
      <c r="C25" s="15"/>
      <c r="D25" s="10"/>
      <c r="E25" s="32"/>
      <c r="F25" s="52"/>
      <c r="G25" s="18">
        <f t="shared" si="0"/>
        <v>23</v>
      </c>
      <c r="H25" s="28"/>
      <c r="I25" s="29"/>
    </row>
    <row r="26" spans="1:15" ht="18" customHeight="1" x14ac:dyDescent="0.25">
      <c r="A26" s="14">
        <f t="shared" si="1"/>
        <v>17</v>
      </c>
      <c r="B26" s="8"/>
      <c r="C26" s="15"/>
      <c r="D26" s="10"/>
      <c r="E26" s="32"/>
      <c r="F26" s="52"/>
      <c r="G26" s="18">
        <f t="shared" si="0"/>
        <v>23</v>
      </c>
      <c r="H26" s="28"/>
      <c r="I26" s="29"/>
    </row>
    <row r="27" spans="1:15" ht="18" customHeight="1" x14ac:dyDescent="0.25">
      <c r="A27" s="14">
        <f t="shared" si="1"/>
        <v>18</v>
      </c>
      <c r="B27" s="8"/>
      <c r="C27" s="15"/>
      <c r="D27" s="10"/>
      <c r="E27" s="32"/>
      <c r="F27" s="27"/>
      <c r="G27" s="18">
        <f t="shared" si="0"/>
        <v>23</v>
      </c>
      <c r="H27" s="28"/>
      <c r="I27" s="29"/>
    </row>
    <row r="28" spans="1:15" ht="18" customHeight="1" x14ac:dyDescent="0.25">
      <c r="A28" s="14">
        <f t="shared" si="1"/>
        <v>19</v>
      </c>
      <c r="B28" s="8"/>
      <c r="C28" s="15"/>
      <c r="D28" s="10"/>
      <c r="E28" s="32"/>
      <c r="F28" s="27"/>
      <c r="G28" s="18">
        <f t="shared" si="0"/>
        <v>23</v>
      </c>
      <c r="H28" s="28"/>
      <c r="I28" s="29"/>
    </row>
    <row r="29" spans="1:15" ht="18" customHeight="1" x14ac:dyDescent="0.25">
      <c r="A29" s="14">
        <f t="shared" si="1"/>
        <v>20</v>
      </c>
      <c r="B29" s="8"/>
      <c r="C29" s="15"/>
      <c r="D29" s="10"/>
      <c r="E29" s="32"/>
      <c r="F29" s="27"/>
      <c r="G29" s="18">
        <f t="shared" si="0"/>
        <v>23</v>
      </c>
      <c r="H29" s="28"/>
      <c r="I29" s="29"/>
    </row>
    <row r="30" spans="1:15" ht="18" customHeight="1" x14ac:dyDescent="0.25">
      <c r="A30" s="14">
        <f t="shared" si="1"/>
        <v>21</v>
      </c>
      <c r="B30" s="8"/>
      <c r="C30" s="15"/>
      <c r="D30" s="10"/>
      <c r="E30" s="32"/>
      <c r="F30" s="27"/>
      <c r="G30" s="18">
        <f t="shared" si="0"/>
        <v>23</v>
      </c>
      <c r="H30" s="28"/>
      <c r="I30" s="29"/>
    </row>
    <row r="31" spans="1:15" ht="18" customHeight="1" x14ac:dyDescent="0.25">
      <c r="A31" s="14">
        <f t="shared" si="1"/>
        <v>22</v>
      </c>
      <c r="B31" s="8"/>
      <c r="C31" s="15"/>
      <c r="D31" s="10"/>
      <c r="E31" s="32"/>
      <c r="F31" s="27"/>
      <c r="G31" s="18">
        <f t="shared" si="0"/>
        <v>23</v>
      </c>
      <c r="H31" s="28"/>
      <c r="I31" s="29"/>
    </row>
    <row r="32" spans="1:15" ht="18" customHeight="1" x14ac:dyDescent="0.25">
      <c r="A32" s="14">
        <f t="shared" si="1"/>
        <v>23</v>
      </c>
      <c r="B32" s="8"/>
      <c r="C32" s="15"/>
      <c r="D32" s="10"/>
      <c r="E32" s="32"/>
      <c r="F32" s="27"/>
      <c r="G32" s="18">
        <f t="shared" si="0"/>
        <v>23</v>
      </c>
      <c r="H32" s="28"/>
      <c r="I32" s="29"/>
    </row>
    <row r="33" spans="1:9" ht="18" customHeight="1" x14ac:dyDescent="0.25">
      <c r="A33" s="14">
        <f t="shared" si="1"/>
        <v>24</v>
      </c>
      <c r="B33" s="8"/>
      <c r="C33" s="15"/>
      <c r="D33" s="10"/>
      <c r="E33" s="32"/>
      <c r="F33" s="27"/>
      <c r="G33" s="18">
        <f t="shared" si="0"/>
        <v>23</v>
      </c>
      <c r="H33" s="28"/>
      <c r="I33" s="29"/>
    </row>
    <row r="34" spans="1:9" ht="18" customHeight="1" x14ac:dyDescent="0.25">
      <c r="A34" s="14">
        <f t="shared" si="1"/>
        <v>25</v>
      </c>
      <c r="B34" s="8"/>
      <c r="C34" s="15"/>
      <c r="D34" s="10"/>
      <c r="E34" s="32"/>
      <c r="F34" s="27"/>
      <c r="G34" s="18">
        <f t="shared" si="0"/>
        <v>23</v>
      </c>
      <c r="H34" s="28"/>
      <c r="I34" s="29"/>
    </row>
    <row r="35" spans="1:9" ht="18" customHeight="1" x14ac:dyDescent="0.25">
      <c r="A35" s="14">
        <f t="shared" si="1"/>
        <v>26</v>
      </c>
      <c r="B35" s="8"/>
      <c r="C35" s="15"/>
      <c r="D35" s="10"/>
      <c r="E35" s="32"/>
      <c r="F35" s="27"/>
      <c r="G35" s="18">
        <f t="shared" si="0"/>
        <v>23</v>
      </c>
      <c r="H35" s="28"/>
      <c r="I35" s="29"/>
    </row>
    <row r="36" spans="1:9" ht="18" customHeight="1" x14ac:dyDescent="0.25">
      <c r="A36" s="14">
        <f t="shared" si="1"/>
        <v>27</v>
      </c>
      <c r="B36" s="8"/>
      <c r="C36" s="15"/>
      <c r="D36" s="10"/>
      <c r="E36" s="32"/>
      <c r="F36" s="27"/>
      <c r="G36" s="18">
        <f t="shared" si="0"/>
        <v>23</v>
      </c>
      <c r="H36" s="28"/>
      <c r="I36" s="29"/>
    </row>
    <row r="37" spans="1:9" ht="18" customHeight="1" x14ac:dyDescent="0.25">
      <c r="A37" s="14"/>
      <c r="B37" s="8"/>
      <c r="C37" s="15"/>
      <c r="D37" s="10"/>
      <c r="E37" s="32"/>
      <c r="F37" s="27"/>
      <c r="G37" s="18">
        <f t="shared" si="0"/>
        <v>23</v>
      </c>
      <c r="H37" s="28"/>
      <c r="I37" s="29"/>
    </row>
    <row r="38" spans="1:9" ht="18" customHeight="1" x14ac:dyDescent="0.25">
      <c r="A38" s="14"/>
      <c r="B38" s="8"/>
      <c r="C38" s="15"/>
      <c r="D38" s="10"/>
      <c r="E38" s="32"/>
      <c r="F38" s="27"/>
      <c r="G38" s="18">
        <f t="shared" si="0"/>
        <v>23</v>
      </c>
      <c r="H38" s="28"/>
      <c r="I38" s="29"/>
    </row>
    <row r="39" spans="1:9" ht="18" customHeight="1" x14ac:dyDescent="0.25">
      <c r="A39" s="14"/>
      <c r="B39" s="8"/>
      <c r="C39" s="15"/>
      <c r="D39" s="10"/>
      <c r="E39" s="32"/>
      <c r="F39" s="27"/>
      <c r="G39" s="18">
        <f t="shared" si="0"/>
        <v>23</v>
      </c>
      <c r="H39" s="28"/>
      <c r="I39" s="29"/>
    </row>
    <row r="40" spans="1:9" ht="18" customHeight="1" x14ac:dyDescent="0.25">
      <c r="A40" s="14"/>
      <c r="B40" s="8"/>
      <c r="C40" s="15"/>
      <c r="D40" s="10"/>
      <c r="E40" s="32"/>
      <c r="F40" s="27"/>
      <c r="G40" s="18">
        <f t="shared" si="0"/>
        <v>23</v>
      </c>
      <c r="H40" s="28"/>
      <c r="I40" s="29"/>
    </row>
    <row r="41" spans="1:9" ht="18" customHeight="1" x14ac:dyDescent="0.25">
      <c r="A41" s="14"/>
      <c r="B41" s="8"/>
      <c r="C41" s="15"/>
      <c r="D41" s="10"/>
      <c r="E41" s="32"/>
      <c r="F41" s="27"/>
      <c r="G41" s="18">
        <f t="shared" si="0"/>
        <v>23</v>
      </c>
      <c r="H41" s="28"/>
      <c r="I41" s="29"/>
    </row>
    <row r="42" spans="1:9" ht="18" customHeight="1" x14ac:dyDescent="0.25">
      <c r="A42" s="14">
        <f>+A36+1</f>
        <v>28</v>
      </c>
      <c r="B42" s="8"/>
      <c r="C42" s="15"/>
      <c r="D42" s="10"/>
      <c r="E42" s="32"/>
      <c r="F42" s="27"/>
      <c r="G42" s="18">
        <f t="shared" si="0"/>
        <v>23</v>
      </c>
      <c r="H42" s="28"/>
      <c r="I42" s="29"/>
    </row>
    <row r="43" spans="1:9" ht="18" customHeight="1" x14ac:dyDescent="0.25">
      <c r="A43" s="14">
        <f t="shared" si="1"/>
        <v>29</v>
      </c>
      <c r="B43" s="8"/>
      <c r="C43" s="15"/>
      <c r="D43" s="10"/>
      <c r="E43" s="32"/>
      <c r="F43" s="27"/>
      <c r="G43" s="18">
        <f t="shared" si="0"/>
        <v>23</v>
      </c>
      <c r="H43" s="28"/>
      <c r="I43" s="29"/>
    </row>
    <row r="44" spans="1:9" ht="18" customHeight="1" x14ac:dyDescent="0.25">
      <c r="A44" s="14">
        <f t="shared" si="1"/>
        <v>30</v>
      </c>
      <c r="B44" s="8"/>
      <c r="C44" s="15"/>
      <c r="D44" s="10"/>
      <c r="E44" s="32"/>
      <c r="F44" s="27"/>
      <c r="G44" s="18">
        <f t="shared" si="0"/>
        <v>23</v>
      </c>
      <c r="H44" s="28"/>
      <c r="I44" s="29"/>
    </row>
    <row r="45" spans="1:9" ht="18" customHeight="1" x14ac:dyDescent="0.25">
      <c r="A45" s="14">
        <f t="shared" si="1"/>
        <v>31</v>
      </c>
      <c r="B45" s="8"/>
      <c r="C45" s="15"/>
      <c r="D45" s="10"/>
      <c r="E45" s="32"/>
      <c r="F45" s="27"/>
      <c r="G45" s="18">
        <f t="shared" si="0"/>
        <v>23</v>
      </c>
      <c r="H45" s="28"/>
      <c r="I45" s="29"/>
    </row>
    <row r="46" spans="1:9" ht="18" customHeight="1" x14ac:dyDescent="0.25">
      <c r="A46" s="14">
        <f t="shared" si="1"/>
        <v>32</v>
      </c>
      <c r="B46" s="8"/>
      <c r="C46" s="15"/>
      <c r="D46" s="10"/>
      <c r="E46" s="32"/>
      <c r="F46" s="27"/>
      <c r="G46" s="18">
        <f t="shared" si="0"/>
        <v>23</v>
      </c>
      <c r="H46" s="28"/>
      <c r="I46" s="29"/>
    </row>
    <row r="47" spans="1:9" ht="15" customHeight="1" x14ac:dyDescent="0.25">
      <c r="A47" s="7"/>
      <c r="B47" s="33"/>
      <c r="C47" s="34" t="s">
        <v>13</v>
      </c>
      <c r="D47" s="7"/>
      <c r="E47" s="35">
        <f>SUM(E10:E46)</f>
        <v>6063</v>
      </c>
      <c r="F47" s="35">
        <f>SUM(F10:F46)</f>
        <v>6040</v>
      </c>
      <c r="G47" s="35">
        <f>+E47-F47+G9</f>
        <v>23</v>
      </c>
      <c r="H47" s="35"/>
      <c r="I47" s="36"/>
    </row>
    <row r="48" spans="1:9" ht="15" customHeight="1" x14ac:dyDescent="0.25">
      <c r="B48" s="1"/>
      <c r="E48" s="26"/>
      <c r="F48" s="26"/>
    </row>
    <row r="49" spans="2:2" ht="15" customHeight="1" x14ac:dyDescent="0.25">
      <c r="B49" s="1"/>
    </row>
    <row r="50" spans="2:2" ht="15" customHeight="1" x14ac:dyDescent="0.25">
      <c r="B50" s="1"/>
    </row>
    <row r="51" spans="2:2" ht="15" customHeight="1" x14ac:dyDescent="0.25">
      <c r="B51" s="1"/>
    </row>
    <row r="52" spans="2:2" ht="15" customHeight="1" x14ac:dyDescent="0.25">
      <c r="B52" s="1"/>
    </row>
    <row r="53" spans="2:2" ht="15" customHeight="1" x14ac:dyDescent="0.25">
      <c r="B53" s="1"/>
    </row>
    <row r="54" spans="2:2" ht="15" customHeight="1" x14ac:dyDescent="0.25"/>
    <row r="55" spans="2:2" ht="15" customHeight="1" x14ac:dyDescent="0.25"/>
    <row r="56" spans="2:2" ht="15" customHeight="1" x14ac:dyDescent="0.25"/>
    <row r="57" spans="2:2" ht="15" customHeight="1" x14ac:dyDescent="0.25"/>
    <row r="58" spans="2:2" ht="15" customHeight="1" x14ac:dyDescent="0.25"/>
    <row r="59" spans="2:2" ht="15" customHeight="1" x14ac:dyDescent="0.25"/>
    <row r="60" spans="2:2" ht="15" customHeight="1" x14ac:dyDescent="0.25"/>
    <row r="61" spans="2:2" ht="15" customHeight="1" x14ac:dyDescent="0.25"/>
    <row r="62" spans="2:2" ht="15" customHeight="1" x14ac:dyDescent="0.25"/>
    <row r="63" spans="2:2" ht="15" customHeight="1" x14ac:dyDescent="0.25"/>
    <row r="64" spans="2:2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</sheetData>
  <mergeCells count="1">
    <mergeCell ref="A4:I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1C5C-623C-4925-AAE0-DB8C57888CD9}">
  <sheetPr codeName="Sheet14"/>
  <dimension ref="A1:O89"/>
  <sheetViews>
    <sheetView topLeftCell="A14" workbookViewId="0">
      <selection activeCell="L41" sqref="L41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5703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271" t="s">
        <v>2</v>
      </c>
      <c r="B4" s="271"/>
      <c r="C4" s="271"/>
      <c r="D4" s="271"/>
      <c r="E4" s="271"/>
      <c r="F4" s="271"/>
      <c r="G4" s="271"/>
      <c r="H4" s="271"/>
      <c r="I4" s="271"/>
    </row>
    <row r="5" spans="1:10" x14ac:dyDescent="0.25">
      <c r="A5" s="271"/>
      <c r="B5" s="271"/>
      <c r="C5" s="271"/>
      <c r="D5" s="271"/>
      <c r="E5" s="271"/>
      <c r="F5" s="271"/>
      <c r="G5" s="271"/>
      <c r="H5" s="271"/>
      <c r="I5" s="271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31</v>
      </c>
      <c r="D8" s="4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/>
      <c r="C9" s="9" t="s">
        <v>11</v>
      </c>
      <c r="D9" s="10"/>
      <c r="E9" s="11"/>
      <c r="F9" s="12"/>
      <c r="G9" s="51"/>
      <c r="H9" s="7"/>
      <c r="I9" s="7"/>
    </row>
    <row r="10" spans="1:10" ht="18" customHeight="1" x14ac:dyDescent="0.25">
      <c r="A10" s="14">
        <v>1</v>
      </c>
      <c r="B10" s="8">
        <v>45712</v>
      </c>
      <c r="C10" s="15" t="s">
        <v>64</v>
      </c>
      <c r="D10" s="10" t="s">
        <v>21</v>
      </c>
      <c r="E10" s="16">
        <v>5993</v>
      </c>
      <c r="F10" s="52"/>
      <c r="G10" s="18">
        <f t="shared" ref="G10:G47" si="0">+G9+E10-F10</f>
        <v>5993</v>
      </c>
      <c r="H10" s="18" t="s">
        <v>26</v>
      </c>
      <c r="I10" s="7">
        <v>8</v>
      </c>
      <c r="J10" s="26"/>
    </row>
    <row r="11" spans="1:10" ht="18" customHeight="1" x14ac:dyDescent="0.25">
      <c r="A11" s="106">
        <f t="shared" ref="A11:A47" si="1">+A10+1</f>
        <v>2</v>
      </c>
      <c r="B11" s="107">
        <v>45716</v>
      </c>
      <c r="C11" s="171"/>
      <c r="D11" s="159" t="s">
        <v>21</v>
      </c>
      <c r="E11" s="173"/>
      <c r="F11" s="31">
        <v>744</v>
      </c>
      <c r="G11" s="110">
        <f t="shared" si="0"/>
        <v>5249</v>
      </c>
      <c r="H11" s="110" t="s">
        <v>26</v>
      </c>
      <c r="I11" s="174"/>
    </row>
    <row r="12" spans="1:10" ht="18" customHeight="1" x14ac:dyDescent="0.25">
      <c r="A12" s="14">
        <f t="shared" si="1"/>
        <v>3</v>
      </c>
      <c r="B12" s="8">
        <v>45723</v>
      </c>
      <c r="C12" s="15"/>
      <c r="D12" s="10" t="s">
        <v>21</v>
      </c>
      <c r="E12" s="16"/>
      <c r="F12" s="53">
        <v>1383</v>
      </c>
      <c r="G12" s="18">
        <f t="shared" si="0"/>
        <v>3866</v>
      </c>
      <c r="H12" s="18" t="s">
        <v>26</v>
      </c>
      <c r="I12" s="7" t="s">
        <v>25</v>
      </c>
    </row>
    <row r="13" spans="1:10" ht="18" customHeight="1" x14ac:dyDescent="0.25">
      <c r="A13" s="14">
        <f t="shared" si="1"/>
        <v>4</v>
      </c>
      <c r="B13" s="8">
        <v>45724</v>
      </c>
      <c r="C13" s="15"/>
      <c r="D13" s="10" t="s">
        <v>21</v>
      </c>
      <c r="E13" s="16"/>
      <c r="F13" s="53">
        <v>781</v>
      </c>
      <c r="G13" s="18">
        <f t="shared" si="0"/>
        <v>3085</v>
      </c>
      <c r="H13" s="18" t="s">
        <v>26</v>
      </c>
      <c r="I13" s="7" t="s">
        <v>25</v>
      </c>
    </row>
    <row r="14" spans="1:10" ht="18" customHeight="1" x14ac:dyDescent="0.25">
      <c r="A14" s="14">
        <f t="shared" si="1"/>
        <v>5</v>
      </c>
      <c r="B14" s="8">
        <v>45729</v>
      </c>
      <c r="C14" s="15"/>
      <c r="D14" s="10" t="s">
        <v>21</v>
      </c>
      <c r="E14" s="16"/>
      <c r="F14" s="53">
        <v>1582</v>
      </c>
      <c r="G14" s="18">
        <f t="shared" si="0"/>
        <v>1503</v>
      </c>
      <c r="H14" s="18" t="s">
        <v>26</v>
      </c>
      <c r="I14" s="7" t="s">
        <v>25</v>
      </c>
    </row>
    <row r="15" spans="1:10" ht="18" customHeight="1" x14ac:dyDescent="0.25">
      <c r="A15" s="14">
        <f t="shared" si="1"/>
        <v>6</v>
      </c>
      <c r="B15" s="8">
        <v>45730</v>
      </c>
      <c r="C15" s="15"/>
      <c r="D15" s="10" t="s">
        <v>21</v>
      </c>
      <c r="E15" s="16"/>
      <c r="F15" s="53">
        <v>1503</v>
      </c>
      <c r="G15" s="18">
        <f t="shared" si="0"/>
        <v>0</v>
      </c>
      <c r="H15" s="18" t="s">
        <v>26</v>
      </c>
      <c r="I15" s="7" t="s">
        <v>25</v>
      </c>
      <c r="J15" t="s">
        <v>15</v>
      </c>
    </row>
    <row r="16" spans="1:10" ht="18" customHeight="1" x14ac:dyDescent="0.25">
      <c r="A16" s="14">
        <f t="shared" si="1"/>
        <v>7</v>
      </c>
      <c r="B16" s="8">
        <v>45758</v>
      </c>
      <c r="C16" s="15"/>
      <c r="D16" s="10"/>
      <c r="E16" s="16">
        <v>8235.1</v>
      </c>
      <c r="F16" s="53"/>
      <c r="G16" s="18">
        <f t="shared" si="0"/>
        <v>8235.1</v>
      </c>
      <c r="H16" s="28"/>
      <c r="I16" s="29"/>
      <c r="J16" s="26"/>
    </row>
    <row r="17" spans="1:14" ht="18" customHeight="1" x14ac:dyDescent="0.25">
      <c r="A17" s="106">
        <f>+A16+1</f>
        <v>8</v>
      </c>
      <c r="B17" s="107">
        <v>45761</v>
      </c>
      <c r="C17" s="171"/>
      <c r="D17" s="159"/>
      <c r="E17" s="173">
        <v>5666</v>
      </c>
      <c r="F17" s="180"/>
      <c r="G17" s="110">
        <f t="shared" si="0"/>
        <v>13901.1</v>
      </c>
      <c r="H17" s="198"/>
      <c r="I17" s="204" t="s">
        <v>99</v>
      </c>
    </row>
    <row r="18" spans="1:14" ht="18" customHeight="1" x14ac:dyDescent="0.25">
      <c r="A18" s="106">
        <f t="shared" si="1"/>
        <v>9</v>
      </c>
      <c r="B18" s="107">
        <v>45762</v>
      </c>
      <c r="C18" s="171" t="s">
        <v>107</v>
      </c>
      <c r="D18" s="159"/>
      <c r="E18" s="185">
        <f>557</f>
        <v>557</v>
      </c>
      <c r="F18" s="180">
        <v>820</v>
      </c>
      <c r="G18" s="110">
        <f t="shared" si="0"/>
        <v>13638.1</v>
      </c>
      <c r="H18" s="198"/>
      <c r="I18" s="204"/>
    </row>
    <row r="19" spans="1:14" ht="18" customHeight="1" x14ac:dyDescent="0.25">
      <c r="A19" s="14">
        <f t="shared" si="1"/>
        <v>10</v>
      </c>
      <c r="B19" s="44">
        <v>45771</v>
      </c>
      <c r="C19" s="15"/>
      <c r="D19" s="10"/>
      <c r="E19" s="16"/>
      <c r="F19" s="52">
        <v>986</v>
      </c>
      <c r="G19" s="18">
        <f t="shared" si="0"/>
        <v>12652.1</v>
      </c>
      <c r="H19" s="28"/>
      <c r="I19" s="38"/>
    </row>
    <row r="20" spans="1:14" ht="18" customHeight="1" x14ac:dyDescent="0.25">
      <c r="A20" s="14">
        <f t="shared" si="1"/>
        <v>11</v>
      </c>
      <c r="B20" s="44">
        <v>45772</v>
      </c>
      <c r="C20" s="15"/>
      <c r="D20" s="10"/>
      <c r="E20" s="30"/>
      <c r="F20" s="52">
        <v>2831</v>
      </c>
      <c r="G20" s="18">
        <f t="shared" si="0"/>
        <v>9821.1</v>
      </c>
      <c r="H20" s="28"/>
      <c r="I20" s="38"/>
    </row>
    <row r="21" spans="1:14" ht="18" customHeight="1" x14ac:dyDescent="0.25">
      <c r="A21" s="14">
        <f t="shared" si="1"/>
        <v>12</v>
      </c>
      <c r="B21" s="8">
        <v>45772</v>
      </c>
      <c r="C21" s="15"/>
      <c r="D21" s="10"/>
      <c r="E21" s="16">
        <v>19497</v>
      </c>
      <c r="F21" s="52"/>
      <c r="G21" s="18">
        <f t="shared" si="0"/>
        <v>29318.1</v>
      </c>
      <c r="H21" s="28"/>
      <c r="I21" s="204" t="s">
        <v>99</v>
      </c>
    </row>
    <row r="22" spans="1:14" ht="18" customHeight="1" x14ac:dyDescent="0.25">
      <c r="A22" s="14">
        <f t="shared" si="1"/>
        <v>13</v>
      </c>
      <c r="B22" s="8">
        <v>45774</v>
      </c>
      <c r="C22" s="15"/>
      <c r="D22" s="10"/>
      <c r="E22" s="16"/>
      <c r="F22" s="52">
        <v>3796</v>
      </c>
      <c r="G22" s="18">
        <f t="shared" si="0"/>
        <v>25522.1</v>
      </c>
      <c r="H22" s="28"/>
      <c r="I22" s="29"/>
    </row>
    <row r="23" spans="1:14" ht="18" customHeight="1" x14ac:dyDescent="0.25">
      <c r="A23" s="14">
        <f t="shared" si="1"/>
        <v>14</v>
      </c>
      <c r="B23" s="8">
        <v>45776</v>
      </c>
      <c r="C23" s="15"/>
      <c r="D23" s="10"/>
      <c r="E23" s="16"/>
      <c r="F23" s="52">
        <v>921</v>
      </c>
      <c r="G23" s="18">
        <f t="shared" si="0"/>
        <v>24601.1</v>
      </c>
      <c r="H23" s="28"/>
      <c r="I23" s="29"/>
    </row>
    <row r="24" spans="1:14" ht="18" customHeight="1" x14ac:dyDescent="0.25">
      <c r="A24" s="14">
        <f t="shared" si="1"/>
        <v>15</v>
      </c>
      <c r="B24" s="8">
        <v>45782</v>
      </c>
      <c r="C24" s="15"/>
      <c r="D24" s="10"/>
      <c r="E24" s="32"/>
      <c r="F24" s="52">
        <v>3866</v>
      </c>
      <c r="G24" s="18">
        <f t="shared" si="0"/>
        <v>20735.099999999999</v>
      </c>
      <c r="H24" s="28"/>
      <c r="I24" s="29"/>
    </row>
    <row r="25" spans="1:14" ht="18" customHeight="1" x14ac:dyDescent="0.25">
      <c r="A25" s="14">
        <f t="shared" si="1"/>
        <v>16</v>
      </c>
      <c r="B25" s="8">
        <v>45785</v>
      </c>
      <c r="C25" s="15"/>
      <c r="D25" s="10"/>
      <c r="E25" s="32"/>
      <c r="F25" s="52">
        <v>3832</v>
      </c>
      <c r="G25" s="18">
        <f t="shared" si="0"/>
        <v>16903.099999999999</v>
      </c>
      <c r="H25" s="28"/>
      <c r="I25" s="29"/>
    </row>
    <row r="26" spans="1:14" ht="18" customHeight="1" x14ac:dyDescent="0.25">
      <c r="A26" s="14">
        <f t="shared" si="1"/>
        <v>17</v>
      </c>
      <c r="B26" s="8">
        <v>45789</v>
      </c>
      <c r="C26" s="15"/>
      <c r="D26" s="10"/>
      <c r="E26" s="32"/>
      <c r="F26" s="31">
        <v>989</v>
      </c>
      <c r="G26" s="18">
        <f t="shared" si="0"/>
        <v>15914.099999999999</v>
      </c>
      <c r="H26" s="28"/>
      <c r="I26" s="29"/>
    </row>
    <row r="27" spans="1:14" ht="18" customHeight="1" x14ac:dyDescent="0.25">
      <c r="A27" s="14">
        <f t="shared" si="1"/>
        <v>18</v>
      </c>
      <c r="B27" s="205">
        <v>45792</v>
      </c>
      <c r="C27" s="206"/>
      <c r="D27" s="207"/>
      <c r="E27" s="208"/>
      <c r="F27" s="52">
        <v>1034</v>
      </c>
      <c r="G27" s="18">
        <f t="shared" si="0"/>
        <v>14880.099999999999</v>
      </c>
      <c r="H27" s="209"/>
      <c r="I27" s="206"/>
    </row>
    <row r="28" spans="1:14" ht="18" customHeight="1" x14ac:dyDescent="0.25">
      <c r="A28" s="14">
        <f t="shared" si="1"/>
        <v>19</v>
      </c>
      <c r="B28" s="8">
        <v>45793</v>
      </c>
      <c r="C28" s="15"/>
      <c r="D28" s="10"/>
      <c r="E28" s="32"/>
      <c r="F28" s="27">
        <v>2063</v>
      </c>
      <c r="G28" s="18">
        <f t="shared" si="0"/>
        <v>12817.099999999999</v>
      </c>
      <c r="H28" s="28"/>
      <c r="I28" s="29"/>
    </row>
    <row r="29" spans="1:14" ht="18" customHeight="1" x14ac:dyDescent="0.25">
      <c r="A29" s="14">
        <f t="shared" si="1"/>
        <v>20</v>
      </c>
      <c r="B29" s="8">
        <v>45797</v>
      </c>
      <c r="C29" s="15"/>
      <c r="D29" s="10"/>
      <c r="E29" s="32"/>
      <c r="F29" s="27">
        <v>1021</v>
      </c>
      <c r="G29" s="18">
        <f t="shared" si="0"/>
        <v>11796.099999999999</v>
      </c>
      <c r="H29" s="28"/>
      <c r="I29" s="29"/>
    </row>
    <row r="30" spans="1:14" ht="18" customHeight="1" x14ac:dyDescent="0.25">
      <c r="A30" s="14">
        <f t="shared" si="1"/>
        <v>21</v>
      </c>
      <c r="B30" s="8">
        <v>45843</v>
      </c>
      <c r="C30" s="15" t="s">
        <v>127</v>
      </c>
      <c r="D30" s="10"/>
      <c r="E30" s="32"/>
      <c r="F30" s="27">
        <v>11270</v>
      </c>
      <c r="G30" s="18">
        <f t="shared" si="0"/>
        <v>526.09999999999854</v>
      </c>
      <c r="H30" s="28"/>
      <c r="I30" s="29"/>
    </row>
    <row r="31" spans="1:14" ht="18" customHeight="1" x14ac:dyDescent="0.25">
      <c r="A31" s="14">
        <f t="shared" si="1"/>
        <v>22</v>
      </c>
      <c r="B31" s="8"/>
      <c r="C31" s="15"/>
      <c r="D31" s="10"/>
      <c r="E31" s="32"/>
      <c r="F31" s="27"/>
      <c r="G31" s="18">
        <f t="shared" si="0"/>
        <v>526.09999999999854</v>
      </c>
      <c r="H31" s="28"/>
      <c r="I31" s="171"/>
    </row>
    <row r="32" spans="1:14" ht="18" customHeight="1" x14ac:dyDescent="0.25">
      <c r="A32" s="14">
        <f t="shared" si="1"/>
        <v>23</v>
      </c>
      <c r="B32" s="8"/>
      <c r="C32" s="15"/>
      <c r="D32" s="10"/>
      <c r="E32" s="32"/>
      <c r="F32" s="27"/>
      <c r="G32" s="18">
        <f t="shared" si="0"/>
        <v>526.09999999999854</v>
      </c>
      <c r="H32" s="28"/>
      <c r="I32" s="29"/>
      <c r="N32">
        <f>258*16</f>
        <v>4128</v>
      </c>
    </row>
    <row r="33" spans="1:15" ht="18" customHeight="1" x14ac:dyDescent="0.25">
      <c r="A33" s="14">
        <f t="shared" si="1"/>
        <v>24</v>
      </c>
      <c r="B33" s="8"/>
      <c r="C33" s="15"/>
      <c r="D33" s="10"/>
      <c r="E33" s="32"/>
      <c r="F33" s="27"/>
      <c r="G33" s="18">
        <f t="shared" si="0"/>
        <v>526.09999999999854</v>
      </c>
      <c r="H33" s="28"/>
      <c r="I33" s="29"/>
      <c r="O33">
        <f>367985/0.894</f>
        <v>411616.33109619684</v>
      </c>
    </row>
    <row r="34" spans="1:15" ht="18" customHeight="1" x14ac:dyDescent="0.25">
      <c r="A34" s="14">
        <f t="shared" si="1"/>
        <v>25</v>
      </c>
      <c r="B34" s="8"/>
      <c r="C34" s="15"/>
      <c r="D34" s="10"/>
      <c r="E34" s="32"/>
      <c r="F34" s="27"/>
      <c r="G34" s="18">
        <f t="shared" si="0"/>
        <v>526.09999999999854</v>
      </c>
      <c r="H34" s="28"/>
      <c r="I34" s="29"/>
      <c r="N34">
        <f>4128-4116</f>
        <v>12</v>
      </c>
    </row>
    <row r="35" spans="1:15" ht="18" customHeight="1" x14ac:dyDescent="0.25">
      <c r="A35" s="14">
        <f t="shared" si="1"/>
        <v>26</v>
      </c>
      <c r="B35" s="8"/>
      <c r="C35" s="15"/>
      <c r="D35" s="10"/>
      <c r="E35" s="32"/>
      <c r="F35" s="27"/>
      <c r="G35" s="18">
        <f t="shared" si="0"/>
        <v>526.09999999999854</v>
      </c>
      <c r="H35" s="28"/>
      <c r="I35" s="29"/>
    </row>
    <row r="36" spans="1:15" ht="18" customHeight="1" x14ac:dyDescent="0.25">
      <c r="A36" s="14">
        <f t="shared" si="1"/>
        <v>27</v>
      </c>
      <c r="B36" s="8"/>
      <c r="C36" s="15"/>
      <c r="D36" s="10"/>
      <c r="E36" s="32"/>
      <c r="F36" s="27"/>
      <c r="G36" s="18">
        <f t="shared" si="0"/>
        <v>526.09999999999854</v>
      </c>
      <c r="H36" s="28"/>
      <c r="I36" s="29"/>
    </row>
    <row r="37" spans="1:15" ht="18" customHeight="1" x14ac:dyDescent="0.25">
      <c r="A37" s="14">
        <f t="shared" si="1"/>
        <v>28</v>
      </c>
      <c r="B37" s="8"/>
      <c r="C37" s="15"/>
      <c r="D37" s="10"/>
      <c r="E37" s="32"/>
      <c r="F37" s="27"/>
      <c r="G37" s="18">
        <f t="shared" si="0"/>
        <v>526.09999999999854</v>
      </c>
      <c r="H37" s="28"/>
      <c r="I37" s="29"/>
    </row>
    <row r="38" spans="1:15" ht="18" customHeight="1" x14ac:dyDescent="0.25">
      <c r="A38" s="14">
        <f t="shared" si="1"/>
        <v>29</v>
      </c>
      <c r="B38" s="8"/>
      <c r="C38" s="15"/>
      <c r="D38" s="10"/>
      <c r="E38" s="32"/>
      <c r="F38" s="27"/>
      <c r="G38" s="18">
        <f t="shared" si="0"/>
        <v>526.09999999999854</v>
      </c>
      <c r="H38" s="28"/>
      <c r="I38" s="29"/>
    </row>
    <row r="39" spans="1:15" ht="18" customHeight="1" x14ac:dyDescent="0.25">
      <c r="A39" s="14">
        <f t="shared" si="1"/>
        <v>30</v>
      </c>
      <c r="B39" s="8"/>
      <c r="C39" s="15"/>
      <c r="D39" s="10"/>
      <c r="E39" s="32"/>
      <c r="F39" s="27"/>
      <c r="G39" s="18">
        <f t="shared" si="0"/>
        <v>526.09999999999854</v>
      </c>
      <c r="H39" s="28"/>
      <c r="I39" s="29"/>
    </row>
    <row r="40" spans="1:15" ht="18" customHeight="1" x14ac:dyDescent="0.25">
      <c r="A40" s="14">
        <f t="shared" si="1"/>
        <v>31</v>
      </c>
      <c r="B40" s="8"/>
      <c r="C40" s="15"/>
      <c r="D40" s="10"/>
      <c r="E40" s="32"/>
      <c r="F40" s="27"/>
      <c r="G40" s="18">
        <f t="shared" si="0"/>
        <v>526.09999999999854</v>
      </c>
      <c r="H40" s="28"/>
      <c r="I40" s="29"/>
    </row>
    <row r="41" spans="1:15" ht="18" customHeight="1" x14ac:dyDescent="0.25">
      <c r="A41" s="14">
        <f t="shared" si="1"/>
        <v>32</v>
      </c>
      <c r="B41" s="8"/>
      <c r="C41" s="15"/>
      <c r="D41" s="10"/>
      <c r="E41" s="32"/>
      <c r="F41" s="27"/>
      <c r="G41" s="18">
        <f t="shared" si="0"/>
        <v>526.09999999999854</v>
      </c>
      <c r="H41" s="28"/>
      <c r="I41" s="29"/>
    </row>
    <row r="42" spans="1:15" ht="18" customHeight="1" x14ac:dyDescent="0.25">
      <c r="A42" s="14">
        <f t="shared" si="1"/>
        <v>33</v>
      </c>
      <c r="B42" s="8"/>
      <c r="C42" s="15"/>
      <c r="D42" s="10"/>
      <c r="E42" s="32"/>
      <c r="F42" s="27"/>
      <c r="G42" s="18">
        <f t="shared" si="0"/>
        <v>526.09999999999854</v>
      </c>
      <c r="H42" s="28"/>
      <c r="I42" s="29"/>
    </row>
    <row r="43" spans="1:15" ht="18" customHeight="1" x14ac:dyDescent="0.25">
      <c r="A43" s="14">
        <f t="shared" si="1"/>
        <v>34</v>
      </c>
      <c r="B43" s="8"/>
      <c r="C43" s="15"/>
      <c r="D43" s="10"/>
      <c r="E43" s="32"/>
      <c r="F43" s="27"/>
      <c r="G43" s="18">
        <f t="shared" si="0"/>
        <v>526.09999999999854</v>
      </c>
      <c r="H43" s="28"/>
      <c r="I43" s="29"/>
    </row>
    <row r="44" spans="1:15" ht="18" customHeight="1" x14ac:dyDescent="0.25">
      <c r="A44" s="14">
        <f t="shared" si="1"/>
        <v>35</v>
      </c>
      <c r="B44" s="8"/>
      <c r="C44" s="15"/>
      <c r="D44" s="10"/>
      <c r="E44" s="32"/>
      <c r="F44" s="27"/>
      <c r="G44" s="18">
        <f t="shared" si="0"/>
        <v>526.09999999999854</v>
      </c>
      <c r="H44" s="28"/>
      <c r="I44" s="29"/>
    </row>
    <row r="45" spans="1:15" ht="18" customHeight="1" x14ac:dyDescent="0.25">
      <c r="A45" s="14">
        <f t="shared" si="1"/>
        <v>36</v>
      </c>
      <c r="B45" s="8"/>
      <c r="C45" s="15"/>
      <c r="D45" s="10"/>
      <c r="E45" s="32"/>
      <c r="F45" s="27"/>
      <c r="G45" s="18">
        <f t="shared" si="0"/>
        <v>526.09999999999854</v>
      </c>
      <c r="H45" s="28"/>
      <c r="I45" s="29"/>
    </row>
    <row r="46" spans="1:15" ht="18" customHeight="1" x14ac:dyDescent="0.25">
      <c r="A46" s="14">
        <f t="shared" si="1"/>
        <v>37</v>
      </c>
      <c r="B46" s="8"/>
      <c r="C46" s="15"/>
      <c r="D46" s="10"/>
      <c r="E46" s="32"/>
      <c r="F46" s="27"/>
      <c r="G46" s="18">
        <f t="shared" si="0"/>
        <v>526.09999999999854</v>
      </c>
      <c r="H46" s="28"/>
      <c r="I46" s="29"/>
    </row>
    <row r="47" spans="1:15" ht="18" customHeight="1" x14ac:dyDescent="0.25">
      <c r="A47" s="14">
        <f t="shared" si="1"/>
        <v>38</v>
      </c>
      <c r="B47" s="8"/>
      <c r="C47" s="15"/>
      <c r="D47" s="10"/>
      <c r="E47" s="32"/>
      <c r="F47" s="27"/>
      <c r="G47" s="18">
        <f t="shared" si="0"/>
        <v>526.09999999999854</v>
      </c>
      <c r="H47" s="28"/>
      <c r="I47" s="29"/>
    </row>
    <row r="48" spans="1:15" ht="15" customHeight="1" x14ac:dyDescent="0.25">
      <c r="A48" s="7"/>
      <c r="B48" s="33"/>
      <c r="C48" s="34" t="s">
        <v>13</v>
      </c>
      <c r="D48" s="7"/>
      <c r="E48" s="35">
        <f>SUM(E10:E47)</f>
        <v>39948.1</v>
      </c>
      <c r="F48" s="35">
        <f>SUM(F10:F47)</f>
        <v>39422</v>
      </c>
      <c r="G48" s="35">
        <f>+E48-F48+G9</f>
        <v>526.09999999999854</v>
      </c>
      <c r="H48" s="35"/>
      <c r="I48" s="36"/>
    </row>
    <row r="49" spans="2:7" ht="15" customHeight="1" x14ac:dyDescent="0.25">
      <c r="B49" s="1"/>
      <c r="E49" s="26"/>
      <c r="F49" s="26"/>
    </row>
    <row r="50" spans="2:7" ht="15" customHeight="1" x14ac:dyDescent="0.25">
      <c r="B50" s="1"/>
      <c r="G50" s="26"/>
    </row>
    <row r="51" spans="2:7" ht="15" customHeight="1" x14ac:dyDescent="0.25">
      <c r="B51" s="1"/>
    </row>
    <row r="52" spans="2:7" ht="15" customHeight="1" x14ac:dyDescent="0.25">
      <c r="B52" s="1"/>
    </row>
    <row r="53" spans="2:7" ht="15" customHeight="1" x14ac:dyDescent="0.25">
      <c r="B53" s="1"/>
    </row>
    <row r="54" spans="2:7" ht="15" customHeight="1" x14ac:dyDescent="0.25">
      <c r="B54" s="1"/>
    </row>
    <row r="55" spans="2:7" ht="15" customHeight="1" x14ac:dyDescent="0.25"/>
    <row r="56" spans="2:7" ht="15" customHeight="1" x14ac:dyDescent="0.25"/>
    <row r="57" spans="2:7" ht="15" customHeight="1" x14ac:dyDescent="0.25"/>
    <row r="58" spans="2:7" ht="15" customHeight="1" x14ac:dyDescent="0.25"/>
    <row r="59" spans="2:7" ht="15" customHeight="1" x14ac:dyDescent="0.25"/>
    <row r="60" spans="2:7" ht="15" customHeight="1" x14ac:dyDescent="0.25"/>
    <row r="61" spans="2:7" ht="15" customHeight="1" x14ac:dyDescent="0.25"/>
    <row r="62" spans="2:7" ht="15" customHeight="1" x14ac:dyDescent="0.25"/>
    <row r="63" spans="2:7" ht="15" customHeight="1" x14ac:dyDescent="0.25"/>
    <row r="64" spans="2:7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</sheetData>
  <mergeCells count="1">
    <mergeCell ref="A4:I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3804-DB04-47AE-9785-659D32DBDC41}">
  <sheetPr codeName="Sheet15"/>
  <dimension ref="A1:L88"/>
  <sheetViews>
    <sheetView workbookViewId="0">
      <selection activeCell="M14" sqref="M14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5703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271" t="s">
        <v>2</v>
      </c>
      <c r="B4" s="271"/>
      <c r="C4" s="271"/>
      <c r="D4" s="271"/>
      <c r="E4" s="271"/>
      <c r="F4" s="271"/>
      <c r="G4" s="271"/>
      <c r="H4" s="271"/>
      <c r="I4" s="271"/>
    </row>
    <row r="5" spans="1:10" x14ac:dyDescent="0.25">
      <c r="A5" s="271"/>
      <c r="B5" s="271"/>
      <c r="C5" s="271"/>
      <c r="D5" s="271"/>
      <c r="E5" s="271"/>
      <c r="F5" s="271"/>
      <c r="G5" s="271"/>
      <c r="H5" s="271"/>
      <c r="I5" s="271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31</v>
      </c>
      <c r="D8" s="4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/>
      <c r="C9" s="9" t="s">
        <v>11</v>
      </c>
      <c r="D9" s="10"/>
      <c r="E9" s="11"/>
      <c r="F9" s="12"/>
      <c r="G9" s="51"/>
      <c r="H9" s="7"/>
      <c r="I9" s="7"/>
    </row>
    <row r="10" spans="1:10" ht="18" customHeight="1" x14ac:dyDescent="0.25">
      <c r="A10" s="14">
        <v>1</v>
      </c>
      <c r="B10" s="8">
        <v>45712</v>
      </c>
      <c r="C10" s="15" t="s">
        <v>65</v>
      </c>
      <c r="D10" s="10" t="s">
        <v>21</v>
      </c>
      <c r="E10" s="16">
        <v>2294</v>
      </c>
      <c r="F10" s="52"/>
      <c r="G10" s="18">
        <f t="shared" ref="G10:G46" si="0">+G9+E10-F10</f>
        <v>2294</v>
      </c>
      <c r="H10" s="18" t="s">
        <v>26</v>
      </c>
      <c r="I10" s="7">
        <v>3</v>
      </c>
      <c r="J10" s="26"/>
    </row>
    <row r="11" spans="1:10" ht="18" customHeight="1" x14ac:dyDescent="0.25">
      <c r="A11" s="106">
        <f t="shared" ref="A11:A46" si="1">+A10+1</f>
        <v>2</v>
      </c>
      <c r="B11" s="107">
        <v>45713</v>
      </c>
      <c r="C11" s="171"/>
      <c r="D11" s="159" t="s">
        <v>21</v>
      </c>
      <c r="E11" s="173"/>
      <c r="F11" s="31">
        <f>764+752+778</f>
        <v>2294</v>
      </c>
      <c r="G11" s="110">
        <f t="shared" si="0"/>
        <v>0</v>
      </c>
      <c r="H11" s="110" t="s">
        <v>26</v>
      </c>
      <c r="I11" s="174"/>
      <c r="J11" t="s">
        <v>67</v>
      </c>
    </row>
    <row r="12" spans="1:10" ht="18" customHeight="1" x14ac:dyDescent="0.25">
      <c r="A12" s="14">
        <f t="shared" si="1"/>
        <v>3</v>
      </c>
      <c r="B12" s="8"/>
      <c r="C12" s="15"/>
      <c r="D12" s="10" t="s">
        <v>21</v>
      </c>
      <c r="E12" s="16"/>
      <c r="F12" s="53"/>
      <c r="G12" s="18">
        <f t="shared" si="0"/>
        <v>0</v>
      </c>
      <c r="H12" s="18" t="s">
        <v>26</v>
      </c>
      <c r="I12" s="7" t="s">
        <v>25</v>
      </c>
    </row>
    <row r="13" spans="1:10" ht="18" customHeight="1" x14ac:dyDescent="0.25">
      <c r="A13" s="14">
        <f t="shared" si="1"/>
        <v>4</v>
      </c>
      <c r="B13" s="8"/>
      <c r="C13" s="15"/>
      <c r="D13" s="10" t="s">
        <v>21</v>
      </c>
      <c r="E13" s="16"/>
      <c r="F13" s="53"/>
      <c r="G13" s="18">
        <f t="shared" si="0"/>
        <v>0</v>
      </c>
      <c r="H13" s="18" t="s">
        <v>26</v>
      </c>
      <c r="I13" s="7" t="s">
        <v>25</v>
      </c>
    </row>
    <row r="14" spans="1:10" ht="18" customHeight="1" x14ac:dyDescent="0.25">
      <c r="A14" s="14">
        <f t="shared" si="1"/>
        <v>5</v>
      </c>
      <c r="B14" s="8"/>
      <c r="C14" s="15"/>
      <c r="D14" s="10" t="s">
        <v>21</v>
      </c>
      <c r="E14" s="16"/>
      <c r="F14" s="53"/>
      <c r="G14" s="18">
        <f t="shared" si="0"/>
        <v>0</v>
      </c>
      <c r="H14" s="18" t="s">
        <v>26</v>
      </c>
      <c r="I14" s="7" t="s">
        <v>25</v>
      </c>
    </row>
    <row r="15" spans="1:10" ht="18" customHeight="1" x14ac:dyDescent="0.25">
      <c r="A15" s="14">
        <f t="shared" si="1"/>
        <v>6</v>
      </c>
      <c r="B15" s="8"/>
      <c r="C15" s="15"/>
      <c r="D15" s="10" t="s">
        <v>21</v>
      </c>
      <c r="E15" s="16"/>
      <c r="F15" s="53"/>
      <c r="G15" s="18">
        <f t="shared" si="0"/>
        <v>0</v>
      </c>
      <c r="H15" s="18" t="s">
        <v>26</v>
      </c>
      <c r="I15" s="7" t="s">
        <v>25</v>
      </c>
      <c r="J15" t="s">
        <v>15</v>
      </c>
    </row>
    <row r="16" spans="1:10" ht="18" customHeight="1" x14ac:dyDescent="0.25">
      <c r="A16" s="14">
        <f t="shared" si="1"/>
        <v>7</v>
      </c>
      <c r="B16" s="8"/>
      <c r="C16" s="15"/>
      <c r="D16" s="10"/>
      <c r="E16" s="16"/>
      <c r="F16" s="53"/>
      <c r="G16" s="18">
        <f t="shared" si="0"/>
        <v>0</v>
      </c>
      <c r="H16" s="28"/>
      <c r="I16" s="29"/>
      <c r="J16" s="26"/>
    </row>
    <row r="17" spans="1:12" ht="18" customHeight="1" x14ac:dyDescent="0.25">
      <c r="A17" s="14">
        <f t="shared" si="1"/>
        <v>8</v>
      </c>
      <c r="B17" s="8"/>
      <c r="C17" s="15"/>
      <c r="D17" s="10"/>
      <c r="E17" s="16"/>
      <c r="F17" s="53"/>
      <c r="G17" s="18">
        <f t="shared" si="0"/>
        <v>0</v>
      </c>
      <c r="H17" s="28"/>
      <c r="I17" s="38"/>
    </row>
    <row r="18" spans="1:12" ht="18" customHeight="1" x14ac:dyDescent="0.25">
      <c r="A18" s="14">
        <f t="shared" si="1"/>
        <v>9</v>
      </c>
      <c r="B18" s="8"/>
      <c r="C18" s="15"/>
      <c r="D18" s="10"/>
      <c r="E18" s="16"/>
      <c r="F18" s="53"/>
      <c r="G18" s="18">
        <f t="shared" si="0"/>
        <v>0</v>
      </c>
      <c r="H18" s="28"/>
      <c r="I18" s="38"/>
    </row>
    <row r="19" spans="1:12" ht="18" customHeight="1" x14ac:dyDescent="0.25">
      <c r="A19" s="14">
        <f t="shared" si="1"/>
        <v>10</v>
      </c>
      <c r="B19" s="44"/>
      <c r="C19" s="15"/>
      <c r="D19" s="10"/>
      <c r="E19" s="16"/>
      <c r="F19" s="52"/>
      <c r="G19" s="18">
        <f t="shared" si="0"/>
        <v>0</v>
      </c>
      <c r="H19" s="28"/>
      <c r="I19" s="38"/>
      <c r="L19">
        <f>5976+798+2139+2294</f>
        <v>11207</v>
      </c>
    </row>
    <row r="20" spans="1:12" ht="18" customHeight="1" x14ac:dyDescent="0.25">
      <c r="A20" s="14">
        <f t="shared" si="1"/>
        <v>11</v>
      </c>
      <c r="B20" s="44"/>
      <c r="C20" s="15"/>
      <c r="D20" s="10"/>
      <c r="E20" s="30"/>
      <c r="F20" s="52"/>
      <c r="G20" s="18">
        <f t="shared" si="0"/>
        <v>0</v>
      </c>
      <c r="H20" s="28"/>
      <c r="I20" s="38"/>
    </row>
    <row r="21" spans="1:12" ht="18" customHeight="1" x14ac:dyDescent="0.25">
      <c r="A21" s="14">
        <f t="shared" si="1"/>
        <v>12</v>
      </c>
      <c r="B21" s="8"/>
      <c r="C21" s="15"/>
      <c r="D21" s="10"/>
      <c r="E21" s="16"/>
      <c r="F21" s="52"/>
      <c r="G21" s="18">
        <f t="shared" si="0"/>
        <v>0</v>
      </c>
      <c r="H21" s="28"/>
      <c r="I21" s="38"/>
    </row>
    <row r="22" spans="1:12" ht="18" customHeight="1" x14ac:dyDescent="0.25">
      <c r="A22" s="14">
        <f t="shared" si="1"/>
        <v>13</v>
      </c>
      <c r="B22" s="8"/>
      <c r="C22" s="15"/>
      <c r="D22" s="10"/>
      <c r="E22" s="16"/>
      <c r="F22" s="52"/>
      <c r="G22" s="18">
        <f t="shared" si="0"/>
        <v>0</v>
      </c>
      <c r="H22" s="28"/>
      <c r="I22" s="29"/>
    </row>
    <row r="23" spans="1:12" ht="18" customHeight="1" x14ac:dyDescent="0.25">
      <c r="A23" s="14">
        <f t="shared" si="1"/>
        <v>14</v>
      </c>
      <c r="B23" s="8"/>
      <c r="C23" s="15"/>
      <c r="D23" s="10"/>
      <c r="E23" s="16"/>
      <c r="F23" s="52"/>
      <c r="G23" s="18">
        <f t="shared" si="0"/>
        <v>0</v>
      </c>
      <c r="H23" s="28"/>
      <c r="I23" s="29"/>
      <c r="L23" s="26">
        <f>+E10+'Phôi DL 18,2L.600g '!E10+'Phôi DL 18,1L.700g ,2 L'!E10+'Phôi DL 18,2L.700g'!E47</f>
        <v>16410.199999999997</v>
      </c>
    </row>
    <row r="24" spans="1:12" ht="18" customHeight="1" x14ac:dyDescent="0.25">
      <c r="A24" s="14">
        <f t="shared" si="1"/>
        <v>15</v>
      </c>
      <c r="B24" s="8"/>
      <c r="C24" s="15"/>
      <c r="D24" s="10"/>
      <c r="E24" s="32"/>
      <c r="F24" s="52"/>
      <c r="G24" s="18">
        <f t="shared" si="0"/>
        <v>0</v>
      </c>
      <c r="H24" s="28"/>
      <c r="I24" s="29"/>
    </row>
    <row r="25" spans="1:12" ht="18" customHeight="1" x14ac:dyDescent="0.25">
      <c r="A25" s="14">
        <f t="shared" si="1"/>
        <v>16</v>
      </c>
      <c r="B25" s="8"/>
      <c r="C25" s="15"/>
      <c r="D25" s="10"/>
      <c r="E25" s="32"/>
      <c r="F25" s="52"/>
      <c r="G25" s="18">
        <f t="shared" si="0"/>
        <v>0</v>
      </c>
      <c r="H25" s="28"/>
      <c r="I25" s="29"/>
    </row>
    <row r="26" spans="1:12" ht="18" customHeight="1" x14ac:dyDescent="0.25">
      <c r="A26" s="14">
        <f t="shared" si="1"/>
        <v>17</v>
      </c>
      <c r="B26" s="8"/>
      <c r="C26" s="15"/>
      <c r="D26" s="10"/>
      <c r="E26" s="32"/>
      <c r="F26" s="52"/>
      <c r="G26" s="18">
        <f t="shared" si="0"/>
        <v>0</v>
      </c>
      <c r="H26" s="28"/>
      <c r="I26" s="29"/>
    </row>
    <row r="27" spans="1:12" ht="18" customHeight="1" x14ac:dyDescent="0.25">
      <c r="A27" s="14">
        <f t="shared" si="1"/>
        <v>18</v>
      </c>
      <c r="B27" s="8"/>
      <c r="C27" s="15"/>
      <c r="D27" s="10"/>
      <c r="E27" s="32"/>
      <c r="F27" s="27"/>
      <c r="G27" s="18">
        <f t="shared" si="0"/>
        <v>0</v>
      </c>
      <c r="H27" s="28"/>
      <c r="I27" s="29"/>
    </row>
    <row r="28" spans="1:12" ht="18" customHeight="1" x14ac:dyDescent="0.25">
      <c r="A28" s="14">
        <f t="shared" si="1"/>
        <v>19</v>
      </c>
      <c r="B28" s="8"/>
      <c r="C28" s="15"/>
      <c r="D28" s="10"/>
      <c r="E28" s="32"/>
      <c r="F28" s="27"/>
      <c r="G28" s="18">
        <f t="shared" si="0"/>
        <v>0</v>
      </c>
      <c r="H28" s="28"/>
      <c r="I28" s="29"/>
    </row>
    <row r="29" spans="1:12" ht="18" customHeight="1" x14ac:dyDescent="0.25">
      <c r="A29" s="14">
        <f t="shared" si="1"/>
        <v>20</v>
      </c>
      <c r="B29" s="8"/>
      <c r="C29" s="15"/>
      <c r="D29" s="10"/>
      <c r="E29" s="32"/>
      <c r="F29" s="27"/>
      <c r="G29" s="18">
        <f t="shared" si="0"/>
        <v>0</v>
      </c>
      <c r="H29" s="28"/>
      <c r="I29" s="29"/>
    </row>
    <row r="30" spans="1:12" ht="18" customHeight="1" x14ac:dyDescent="0.25">
      <c r="A30" s="14">
        <f t="shared" si="1"/>
        <v>21</v>
      </c>
      <c r="B30" s="8"/>
      <c r="C30" s="15"/>
      <c r="D30" s="10"/>
      <c r="E30" s="32"/>
      <c r="F30" s="27"/>
      <c r="G30" s="18">
        <f t="shared" si="0"/>
        <v>0</v>
      </c>
      <c r="H30" s="28"/>
      <c r="I30" s="29"/>
    </row>
    <row r="31" spans="1:12" ht="18" customHeight="1" x14ac:dyDescent="0.25">
      <c r="A31" s="14">
        <f t="shared" si="1"/>
        <v>22</v>
      </c>
      <c r="B31" s="8"/>
      <c r="C31" s="15"/>
      <c r="D31" s="10"/>
      <c r="E31" s="32"/>
      <c r="F31" s="27"/>
      <c r="G31" s="18">
        <f t="shared" si="0"/>
        <v>0</v>
      </c>
      <c r="H31" s="28"/>
      <c r="I31" s="29"/>
    </row>
    <row r="32" spans="1:12" ht="18" customHeight="1" x14ac:dyDescent="0.25">
      <c r="A32" s="14">
        <f t="shared" si="1"/>
        <v>23</v>
      </c>
      <c r="B32" s="8"/>
      <c r="C32" s="15"/>
      <c r="D32" s="10"/>
      <c r="E32" s="32"/>
      <c r="F32" s="27"/>
      <c r="G32" s="18">
        <f t="shared" si="0"/>
        <v>0</v>
      </c>
      <c r="H32" s="28"/>
      <c r="I32" s="29"/>
    </row>
    <row r="33" spans="1:9" ht="18" customHeight="1" x14ac:dyDescent="0.25">
      <c r="A33" s="14">
        <f t="shared" si="1"/>
        <v>24</v>
      </c>
      <c r="B33" s="8"/>
      <c r="C33" s="15"/>
      <c r="D33" s="10"/>
      <c r="E33" s="32"/>
      <c r="F33" s="27"/>
      <c r="G33" s="18">
        <f t="shared" si="0"/>
        <v>0</v>
      </c>
      <c r="H33" s="28"/>
      <c r="I33" s="29"/>
    </row>
    <row r="34" spans="1:9" ht="18" customHeight="1" x14ac:dyDescent="0.25">
      <c r="A34" s="14">
        <f t="shared" si="1"/>
        <v>25</v>
      </c>
      <c r="B34" s="8"/>
      <c r="C34" s="15"/>
      <c r="D34" s="10"/>
      <c r="E34" s="32"/>
      <c r="F34" s="27"/>
      <c r="G34" s="18">
        <f t="shared" si="0"/>
        <v>0</v>
      </c>
      <c r="H34" s="28"/>
      <c r="I34" s="29"/>
    </row>
    <row r="35" spans="1:9" ht="18" customHeight="1" x14ac:dyDescent="0.25">
      <c r="A35" s="14">
        <f t="shared" si="1"/>
        <v>26</v>
      </c>
      <c r="B35" s="8"/>
      <c r="C35" s="15"/>
      <c r="D35" s="10"/>
      <c r="E35" s="32"/>
      <c r="F35" s="27"/>
      <c r="G35" s="18">
        <f t="shared" si="0"/>
        <v>0</v>
      </c>
      <c r="H35" s="28"/>
      <c r="I35" s="29"/>
    </row>
    <row r="36" spans="1:9" ht="18" customHeight="1" x14ac:dyDescent="0.25">
      <c r="A36" s="14">
        <f t="shared" si="1"/>
        <v>27</v>
      </c>
      <c r="B36" s="8"/>
      <c r="C36" s="15"/>
      <c r="D36" s="10"/>
      <c r="E36" s="32"/>
      <c r="F36" s="27"/>
      <c r="G36" s="18">
        <f t="shared" si="0"/>
        <v>0</v>
      </c>
      <c r="H36" s="28"/>
      <c r="I36" s="29"/>
    </row>
    <row r="37" spans="1:9" ht="18" customHeight="1" x14ac:dyDescent="0.25">
      <c r="A37" s="14"/>
      <c r="B37" s="8"/>
      <c r="C37" s="15"/>
      <c r="D37" s="10"/>
      <c r="E37" s="32"/>
      <c r="F37" s="27"/>
      <c r="G37" s="18">
        <f t="shared" si="0"/>
        <v>0</v>
      </c>
      <c r="H37" s="28"/>
      <c r="I37" s="29"/>
    </row>
    <row r="38" spans="1:9" ht="18" customHeight="1" x14ac:dyDescent="0.25">
      <c r="A38" s="14"/>
      <c r="B38" s="8"/>
      <c r="C38" s="15"/>
      <c r="D38" s="10"/>
      <c r="E38" s="32"/>
      <c r="F38" s="27"/>
      <c r="G38" s="18">
        <f t="shared" si="0"/>
        <v>0</v>
      </c>
      <c r="H38" s="28"/>
      <c r="I38" s="29"/>
    </row>
    <row r="39" spans="1:9" ht="18" customHeight="1" x14ac:dyDescent="0.25">
      <c r="A39" s="14"/>
      <c r="B39" s="8"/>
      <c r="C39" s="15"/>
      <c r="D39" s="10"/>
      <c r="E39" s="32"/>
      <c r="F39" s="27"/>
      <c r="G39" s="18">
        <f t="shared" si="0"/>
        <v>0</v>
      </c>
      <c r="H39" s="28"/>
      <c r="I39" s="29"/>
    </row>
    <row r="40" spans="1:9" ht="18" customHeight="1" x14ac:dyDescent="0.25">
      <c r="A40" s="14"/>
      <c r="B40" s="8"/>
      <c r="C40" s="15"/>
      <c r="D40" s="10"/>
      <c r="E40" s="32"/>
      <c r="F40" s="27"/>
      <c r="G40" s="18">
        <f t="shared" si="0"/>
        <v>0</v>
      </c>
      <c r="H40" s="28"/>
      <c r="I40" s="29"/>
    </row>
    <row r="41" spans="1:9" ht="18" customHeight="1" x14ac:dyDescent="0.25">
      <c r="A41" s="14"/>
      <c r="B41" s="8"/>
      <c r="C41" s="15"/>
      <c r="D41" s="10"/>
      <c r="E41" s="32"/>
      <c r="F41" s="27"/>
      <c r="G41" s="18">
        <f t="shared" si="0"/>
        <v>0</v>
      </c>
      <c r="H41" s="28"/>
      <c r="I41" s="29"/>
    </row>
    <row r="42" spans="1:9" ht="18" customHeight="1" x14ac:dyDescent="0.25">
      <c r="A42" s="14">
        <f>+A36+1</f>
        <v>28</v>
      </c>
      <c r="B42" s="8"/>
      <c r="C42" s="15"/>
      <c r="D42" s="10"/>
      <c r="E42" s="32"/>
      <c r="F42" s="27"/>
      <c r="G42" s="18">
        <f t="shared" si="0"/>
        <v>0</v>
      </c>
      <c r="H42" s="28"/>
      <c r="I42" s="29"/>
    </row>
    <row r="43" spans="1:9" ht="18" customHeight="1" x14ac:dyDescent="0.25">
      <c r="A43" s="14">
        <f t="shared" si="1"/>
        <v>29</v>
      </c>
      <c r="B43" s="8"/>
      <c r="C43" s="15"/>
      <c r="D43" s="10"/>
      <c r="E43" s="32"/>
      <c r="F43" s="27"/>
      <c r="G43" s="18">
        <f t="shared" si="0"/>
        <v>0</v>
      </c>
      <c r="H43" s="28"/>
      <c r="I43" s="29"/>
    </row>
    <row r="44" spans="1:9" ht="18" customHeight="1" x14ac:dyDescent="0.25">
      <c r="A44" s="14">
        <f t="shared" si="1"/>
        <v>30</v>
      </c>
      <c r="B44" s="8"/>
      <c r="C44" s="15"/>
      <c r="D44" s="10"/>
      <c r="E44" s="32"/>
      <c r="F44" s="27"/>
      <c r="G44" s="18">
        <f t="shared" si="0"/>
        <v>0</v>
      </c>
      <c r="H44" s="28"/>
      <c r="I44" s="29"/>
    </row>
    <row r="45" spans="1:9" ht="18" customHeight="1" x14ac:dyDescent="0.25">
      <c r="A45" s="14">
        <f t="shared" si="1"/>
        <v>31</v>
      </c>
      <c r="B45" s="8"/>
      <c r="C45" s="15"/>
      <c r="D45" s="10"/>
      <c r="E45" s="32"/>
      <c r="F45" s="27"/>
      <c r="G45" s="18">
        <f t="shared" si="0"/>
        <v>0</v>
      </c>
      <c r="H45" s="28"/>
      <c r="I45" s="29"/>
    </row>
    <row r="46" spans="1:9" ht="18" customHeight="1" x14ac:dyDescent="0.25">
      <c r="A46" s="14">
        <f t="shared" si="1"/>
        <v>32</v>
      </c>
      <c r="B46" s="8"/>
      <c r="C46" s="15"/>
      <c r="D46" s="10"/>
      <c r="E46" s="32"/>
      <c r="F46" s="27"/>
      <c r="G46" s="18">
        <f t="shared" si="0"/>
        <v>0</v>
      </c>
      <c r="H46" s="28"/>
      <c r="I46" s="29"/>
    </row>
    <row r="47" spans="1:9" ht="15" customHeight="1" x14ac:dyDescent="0.25">
      <c r="A47" s="7"/>
      <c r="B47" s="33"/>
      <c r="C47" s="34" t="s">
        <v>13</v>
      </c>
      <c r="D47" s="7"/>
      <c r="E47" s="35">
        <f>SUM(E10:E46)</f>
        <v>2294</v>
      </c>
      <c r="F47" s="35">
        <f>SUM(F10:F46)</f>
        <v>2294</v>
      </c>
      <c r="G47" s="35">
        <f>+E47-F47+G9</f>
        <v>0</v>
      </c>
      <c r="H47" s="35"/>
      <c r="I47" s="36"/>
    </row>
    <row r="48" spans="1:9" ht="15" customHeight="1" x14ac:dyDescent="0.25">
      <c r="B48" s="1"/>
      <c r="E48" s="26"/>
      <c r="F48" s="26"/>
    </row>
    <row r="49" spans="2:2" ht="15" customHeight="1" x14ac:dyDescent="0.25">
      <c r="B49" s="1"/>
    </row>
    <row r="50" spans="2:2" ht="15" customHeight="1" x14ac:dyDescent="0.25">
      <c r="B50" s="1"/>
    </row>
    <row r="51" spans="2:2" ht="15" customHeight="1" x14ac:dyDescent="0.25">
      <c r="B51" s="1"/>
    </row>
    <row r="52" spans="2:2" ht="15" customHeight="1" x14ac:dyDescent="0.25">
      <c r="B52" s="1"/>
    </row>
    <row r="53" spans="2:2" ht="15" customHeight="1" x14ac:dyDescent="0.25">
      <c r="B53" s="1"/>
    </row>
    <row r="54" spans="2:2" ht="15" customHeight="1" x14ac:dyDescent="0.25"/>
    <row r="55" spans="2:2" ht="15" customHeight="1" x14ac:dyDescent="0.25"/>
    <row r="56" spans="2:2" ht="15" customHeight="1" x14ac:dyDescent="0.25"/>
    <row r="57" spans="2:2" ht="15" customHeight="1" x14ac:dyDescent="0.25"/>
    <row r="58" spans="2:2" ht="15" customHeight="1" x14ac:dyDescent="0.25"/>
    <row r="59" spans="2:2" ht="15" customHeight="1" x14ac:dyDescent="0.25"/>
    <row r="60" spans="2:2" ht="15" customHeight="1" x14ac:dyDescent="0.25"/>
    <row r="61" spans="2:2" ht="15" customHeight="1" x14ac:dyDescent="0.25"/>
    <row r="62" spans="2:2" ht="15" customHeight="1" x14ac:dyDescent="0.25"/>
    <row r="63" spans="2:2" ht="15" customHeight="1" x14ac:dyDescent="0.25"/>
    <row r="64" spans="2:2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</sheetData>
  <mergeCells count="1">
    <mergeCell ref="A4:I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84971-E835-406F-8809-646DF52B9717}">
  <sheetPr codeName="Sheet16"/>
  <dimension ref="A1:L88"/>
  <sheetViews>
    <sheetView topLeftCell="A3" workbookViewId="0">
      <selection activeCell="L13" sqref="L13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5703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271" t="s">
        <v>2</v>
      </c>
      <c r="B4" s="271"/>
      <c r="C4" s="271"/>
      <c r="D4" s="271"/>
      <c r="E4" s="271"/>
      <c r="F4" s="271"/>
      <c r="G4" s="271"/>
      <c r="H4" s="271"/>
      <c r="I4" s="271"/>
    </row>
    <row r="5" spans="1:10" x14ac:dyDescent="0.25">
      <c r="A5" s="271"/>
      <c r="B5" s="271"/>
      <c r="C5" s="271"/>
      <c r="D5" s="271"/>
      <c r="E5" s="271"/>
      <c r="F5" s="271"/>
      <c r="G5" s="271"/>
      <c r="H5" s="271"/>
      <c r="I5" s="271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31</v>
      </c>
      <c r="D8" s="4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/>
      <c r="C9" s="9" t="s">
        <v>11</v>
      </c>
      <c r="D9" s="10"/>
      <c r="E9" s="11"/>
      <c r="F9" s="12"/>
      <c r="G9" s="51"/>
      <c r="H9" s="7"/>
      <c r="I9" s="7"/>
    </row>
    <row r="10" spans="1:10" ht="18" customHeight="1" x14ac:dyDescent="0.25">
      <c r="A10" s="14">
        <v>1</v>
      </c>
      <c r="B10" s="8">
        <v>45748</v>
      </c>
      <c r="C10" s="15" t="s">
        <v>86</v>
      </c>
      <c r="D10" s="10" t="s">
        <v>21</v>
      </c>
      <c r="E10" s="16">
        <v>1014</v>
      </c>
      <c r="F10" s="52"/>
      <c r="G10" s="18">
        <f t="shared" ref="G10:G46" si="0">+G9+E10-F10</f>
        <v>1014</v>
      </c>
      <c r="H10" s="18" t="s">
        <v>26</v>
      </c>
      <c r="I10" s="7"/>
      <c r="J10" s="26"/>
    </row>
    <row r="11" spans="1:10" ht="18" customHeight="1" x14ac:dyDescent="0.25">
      <c r="A11" s="14">
        <f t="shared" ref="A11:A46" si="1">+A10+1</f>
        <v>2</v>
      </c>
      <c r="B11" s="8"/>
      <c r="C11" s="15"/>
      <c r="D11" s="10" t="s">
        <v>21</v>
      </c>
      <c r="E11" s="16"/>
      <c r="F11" s="52"/>
      <c r="G11" s="18">
        <f t="shared" si="0"/>
        <v>1014</v>
      </c>
      <c r="H11" s="18" t="s">
        <v>26</v>
      </c>
      <c r="I11" s="7"/>
    </row>
    <row r="12" spans="1:10" ht="18" customHeight="1" x14ac:dyDescent="0.25">
      <c r="A12" s="14">
        <f t="shared" si="1"/>
        <v>3</v>
      </c>
      <c r="B12" s="8"/>
      <c r="C12" s="15"/>
      <c r="D12" s="10" t="s">
        <v>21</v>
      </c>
      <c r="E12" s="16"/>
      <c r="F12" s="53"/>
      <c r="G12" s="18">
        <f t="shared" si="0"/>
        <v>1014</v>
      </c>
      <c r="H12" s="18" t="s">
        <v>26</v>
      </c>
      <c r="I12" s="7"/>
    </row>
    <row r="13" spans="1:10" ht="18" customHeight="1" x14ac:dyDescent="0.25">
      <c r="A13" s="14">
        <f t="shared" si="1"/>
        <v>4</v>
      </c>
      <c r="B13" s="8"/>
      <c r="C13" s="15"/>
      <c r="D13" s="10" t="s">
        <v>21</v>
      </c>
      <c r="E13" s="16"/>
      <c r="F13" s="53"/>
      <c r="G13" s="18">
        <f t="shared" si="0"/>
        <v>1014</v>
      </c>
      <c r="H13" s="18" t="s">
        <v>26</v>
      </c>
      <c r="I13" s="7"/>
    </row>
    <row r="14" spans="1:10" ht="18" customHeight="1" x14ac:dyDescent="0.25">
      <c r="A14" s="14">
        <f t="shared" si="1"/>
        <v>5</v>
      </c>
      <c r="B14" s="8"/>
      <c r="C14" s="15"/>
      <c r="D14" s="10" t="s">
        <v>21</v>
      </c>
      <c r="E14" s="16"/>
      <c r="F14" s="53"/>
      <c r="G14" s="18">
        <f t="shared" si="0"/>
        <v>1014</v>
      </c>
      <c r="H14" s="18" t="s">
        <v>26</v>
      </c>
      <c r="I14" s="7"/>
    </row>
    <row r="15" spans="1:10" ht="18" customHeight="1" x14ac:dyDescent="0.25">
      <c r="A15" s="14">
        <f t="shared" si="1"/>
        <v>6</v>
      </c>
      <c r="B15" s="8"/>
      <c r="C15" s="15"/>
      <c r="D15" s="10" t="s">
        <v>21</v>
      </c>
      <c r="E15" s="16"/>
      <c r="F15" s="53"/>
      <c r="G15" s="18">
        <f t="shared" si="0"/>
        <v>1014</v>
      </c>
      <c r="H15" s="18" t="s">
        <v>26</v>
      </c>
      <c r="I15" s="7"/>
    </row>
    <row r="16" spans="1:10" ht="18" customHeight="1" x14ac:dyDescent="0.25">
      <c r="A16" s="14">
        <f t="shared" si="1"/>
        <v>7</v>
      </c>
      <c r="B16" s="8"/>
      <c r="C16" s="15"/>
      <c r="D16" s="10"/>
      <c r="E16" s="16"/>
      <c r="F16" s="53"/>
      <c r="G16" s="18">
        <f t="shared" si="0"/>
        <v>1014</v>
      </c>
      <c r="H16" s="28"/>
      <c r="I16" s="29"/>
      <c r="J16" s="26"/>
    </row>
    <row r="17" spans="1:12" ht="18" customHeight="1" x14ac:dyDescent="0.25">
      <c r="A17" s="14">
        <f t="shared" si="1"/>
        <v>8</v>
      </c>
      <c r="B17" s="8"/>
      <c r="C17" s="15"/>
      <c r="D17" s="10"/>
      <c r="E17" s="16"/>
      <c r="F17" s="53"/>
      <c r="G17" s="18">
        <f t="shared" si="0"/>
        <v>1014</v>
      </c>
      <c r="H17" s="28"/>
      <c r="I17" s="38"/>
    </row>
    <row r="18" spans="1:12" ht="18" customHeight="1" x14ac:dyDescent="0.25">
      <c r="A18" s="14">
        <f t="shared" si="1"/>
        <v>9</v>
      </c>
      <c r="B18" s="8"/>
      <c r="C18" s="15"/>
      <c r="D18" s="10"/>
      <c r="E18" s="16"/>
      <c r="F18" s="53"/>
      <c r="G18" s="18">
        <f t="shared" si="0"/>
        <v>1014</v>
      </c>
      <c r="H18" s="28"/>
      <c r="I18" s="38"/>
    </row>
    <row r="19" spans="1:12" ht="18" customHeight="1" x14ac:dyDescent="0.25">
      <c r="A19" s="14">
        <f t="shared" si="1"/>
        <v>10</v>
      </c>
      <c r="B19" s="44"/>
      <c r="C19" s="15"/>
      <c r="D19" s="10"/>
      <c r="E19" s="16"/>
      <c r="F19" s="52"/>
      <c r="G19" s="18">
        <f t="shared" si="0"/>
        <v>1014</v>
      </c>
      <c r="H19" s="28"/>
      <c r="I19" s="38"/>
    </row>
    <row r="20" spans="1:12" ht="18" customHeight="1" x14ac:dyDescent="0.25">
      <c r="A20" s="14">
        <f t="shared" si="1"/>
        <v>11</v>
      </c>
      <c r="B20" s="44"/>
      <c r="C20" s="15"/>
      <c r="D20" s="10"/>
      <c r="E20" s="30"/>
      <c r="F20" s="52"/>
      <c r="G20" s="18">
        <f t="shared" si="0"/>
        <v>1014</v>
      </c>
      <c r="H20" s="28"/>
      <c r="I20" s="38"/>
    </row>
    <row r="21" spans="1:12" ht="18" customHeight="1" x14ac:dyDescent="0.25">
      <c r="A21" s="14">
        <f t="shared" si="1"/>
        <v>12</v>
      </c>
      <c r="B21" s="8"/>
      <c r="C21" s="15"/>
      <c r="D21" s="10"/>
      <c r="E21" s="16"/>
      <c r="F21" s="52"/>
      <c r="G21" s="18">
        <f t="shared" si="0"/>
        <v>1014</v>
      </c>
      <c r="H21" s="28"/>
      <c r="I21" s="38"/>
    </row>
    <row r="22" spans="1:12" ht="18" customHeight="1" x14ac:dyDescent="0.25">
      <c r="A22" s="14">
        <f t="shared" si="1"/>
        <v>13</v>
      </c>
      <c r="B22" s="8"/>
      <c r="C22" s="15"/>
      <c r="D22" s="10"/>
      <c r="E22" s="16"/>
      <c r="F22" s="52"/>
      <c r="G22" s="18">
        <f t="shared" si="0"/>
        <v>1014</v>
      </c>
      <c r="H22" s="28"/>
      <c r="I22" s="29"/>
    </row>
    <row r="23" spans="1:12" ht="18" customHeight="1" x14ac:dyDescent="0.25">
      <c r="A23" s="14">
        <f t="shared" si="1"/>
        <v>14</v>
      </c>
      <c r="B23" s="8"/>
      <c r="C23" s="15"/>
      <c r="D23" s="10"/>
      <c r="E23" s="16"/>
      <c r="F23" s="52"/>
      <c r="G23" s="18">
        <f t="shared" si="0"/>
        <v>1014</v>
      </c>
      <c r="H23" s="28"/>
      <c r="I23" s="29"/>
      <c r="L23" s="26"/>
    </row>
    <row r="24" spans="1:12" ht="18" customHeight="1" x14ac:dyDescent="0.25">
      <c r="A24" s="14">
        <f t="shared" si="1"/>
        <v>15</v>
      </c>
      <c r="B24" s="8"/>
      <c r="C24" s="15"/>
      <c r="D24" s="10"/>
      <c r="E24" s="32"/>
      <c r="F24" s="52"/>
      <c r="G24" s="18">
        <f t="shared" si="0"/>
        <v>1014</v>
      </c>
      <c r="H24" s="28"/>
      <c r="I24" s="29"/>
    </row>
    <row r="25" spans="1:12" ht="18" customHeight="1" x14ac:dyDescent="0.25">
      <c r="A25" s="14">
        <f t="shared" si="1"/>
        <v>16</v>
      </c>
      <c r="B25" s="8"/>
      <c r="C25" s="15"/>
      <c r="D25" s="10"/>
      <c r="E25" s="32"/>
      <c r="F25" s="52"/>
      <c r="G25" s="18">
        <f t="shared" si="0"/>
        <v>1014</v>
      </c>
      <c r="H25" s="28"/>
      <c r="I25" s="29"/>
    </row>
    <row r="26" spans="1:12" ht="18" customHeight="1" x14ac:dyDescent="0.25">
      <c r="A26" s="14">
        <f t="shared" si="1"/>
        <v>17</v>
      </c>
      <c r="B26" s="8"/>
      <c r="C26" s="15"/>
      <c r="D26" s="10"/>
      <c r="E26" s="32"/>
      <c r="F26" s="52"/>
      <c r="G26" s="18">
        <f t="shared" si="0"/>
        <v>1014</v>
      </c>
      <c r="H26" s="28"/>
      <c r="I26" s="29"/>
    </row>
    <row r="27" spans="1:12" ht="18" customHeight="1" x14ac:dyDescent="0.25">
      <c r="A27" s="14">
        <f t="shared" si="1"/>
        <v>18</v>
      </c>
      <c r="B27" s="8"/>
      <c r="C27" s="15"/>
      <c r="D27" s="10"/>
      <c r="E27" s="32"/>
      <c r="F27" s="27"/>
      <c r="G27" s="18">
        <f t="shared" si="0"/>
        <v>1014</v>
      </c>
      <c r="H27" s="28"/>
      <c r="I27" s="29"/>
    </row>
    <row r="28" spans="1:12" ht="18" customHeight="1" x14ac:dyDescent="0.25">
      <c r="A28" s="14">
        <f t="shared" si="1"/>
        <v>19</v>
      </c>
      <c r="B28" s="8"/>
      <c r="C28" s="15"/>
      <c r="D28" s="10"/>
      <c r="E28" s="32"/>
      <c r="F28" s="27"/>
      <c r="G28" s="18">
        <f t="shared" si="0"/>
        <v>1014</v>
      </c>
      <c r="H28" s="28"/>
      <c r="I28" s="29"/>
    </row>
    <row r="29" spans="1:12" ht="18" customHeight="1" x14ac:dyDescent="0.25">
      <c r="A29" s="14">
        <f t="shared" si="1"/>
        <v>20</v>
      </c>
      <c r="B29" s="8"/>
      <c r="C29" s="15"/>
      <c r="D29" s="10"/>
      <c r="E29" s="32"/>
      <c r="F29" s="27"/>
      <c r="G29" s="18">
        <f t="shared" si="0"/>
        <v>1014</v>
      </c>
      <c r="H29" s="28"/>
      <c r="I29" s="29"/>
    </row>
    <row r="30" spans="1:12" ht="18" customHeight="1" x14ac:dyDescent="0.25">
      <c r="A30" s="14">
        <f t="shared" si="1"/>
        <v>21</v>
      </c>
      <c r="B30" s="8"/>
      <c r="C30" s="15"/>
      <c r="D30" s="10"/>
      <c r="E30" s="32"/>
      <c r="F30" s="27"/>
      <c r="G30" s="18">
        <f t="shared" si="0"/>
        <v>1014</v>
      </c>
      <c r="H30" s="28"/>
      <c r="I30" s="29"/>
    </row>
    <row r="31" spans="1:12" ht="18" customHeight="1" x14ac:dyDescent="0.25">
      <c r="A31" s="14">
        <f t="shared" si="1"/>
        <v>22</v>
      </c>
      <c r="B31" s="8"/>
      <c r="C31" s="15"/>
      <c r="D31" s="10"/>
      <c r="E31" s="32"/>
      <c r="F31" s="27"/>
      <c r="G31" s="18">
        <f t="shared" si="0"/>
        <v>1014</v>
      </c>
      <c r="H31" s="28"/>
      <c r="I31" s="29"/>
    </row>
    <row r="32" spans="1:12" ht="18" customHeight="1" x14ac:dyDescent="0.25">
      <c r="A32" s="14">
        <f t="shared" si="1"/>
        <v>23</v>
      </c>
      <c r="B32" s="8"/>
      <c r="C32" s="15"/>
      <c r="D32" s="10"/>
      <c r="E32" s="32"/>
      <c r="F32" s="27"/>
      <c r="G32" s="18">
        <f t="shared" si="0"/>
        <v>1014</v>
      </c>
      <c r="H32" s="28"/>
      <c r="I32" s="29"/>
    </row>
    <row r="33" spans="1:9" ht="18" customHeight="1" x14ac:dyDescent="0.25">
      <c r="A33" s="14">
        <f t="shared" si="1"/>
        <v>24</v>
      </c>
      <c r="B33" s="8"/>
      <c r="C33" s="15"/>
      <c r="D33" s="10"/>
      <c r="E33" s="32"/>
      <c r="F33" s="27"/>
      <c r="G33" s="18">
        <f t="shared" si="0"/>
        <v>1014</v>
      </c>
      <c r="H33" s="28"/>
      <c r="I33" s="29"/>
    </row>
    <row r="34" spans="1:9" ht="18" customHeight="1" x14ac:dyDescent="0.25">
      <c r="A34" s="14">
        <f t="shared" si="1"/>
        <v>25</v>
      </c>
      <c r="B34" s="8"/>
      <c r="C34" s="15"/>
      <c r="D34" s="10"/>
      <c r="E34" s="32"/>
      <c r="F34" s="27"/>
      <c r="G34" s="18">
        <f t="shared" si="0"/>
        <v>1014</v>
      </c>
      <c r="H34" s="28"/>
      <c r="I34" s="29"/>
    </row>
    <row r="35" spans="1:9" ht="18" customHeight="1" x14ac:dyDescent="0.25">
      <c r="A35" s="14">
        <f t="shared" si="1"/>
        <v>26</v>
      </c>
      <c r="B35" s="8"/>
      <c r="C35" s="15"/>
      <c r="D35" s="10"/>
      <c r="E35" s="32"/>
      <c r="F35" s="27"/>
      <c r="G35" s="18">
        <f t="shared" si="0"/>
        <v>1014</v>
      </c>
      <c r="H35" s="28"/>
      <c r="I35" s="29"/>
    </row>
    <row r="36" spans="1:9" ht="18" customHeight="1" x14ac:dyDescent="0.25">
      <c r="A36" s="14">
        <f t="shared" si="1"/>
        <v>27</v>
      </c>
      <c r="B36" s="8"/>
      <c r="C36" s="15"/>
      <c r="D36" s="10"/>
      <c r="E36" s="32"/>
      <c r="F36" s="27"/>
      <c r="G36" s="18">
        <f t="shared" si="0"/>
        <v>1014</v>
      </c>
      <c r="H36" s="28"/>
      <c r="I36" s="29"/>
    </row>
    <row r="37" spans="1:9" ht="18" customHeight="1" x14ac:dyDescent="0.25">
      <c r="A37" s="14"/>
      <c r="B37" s="8"/>
      <c r="C37" s="15"/>
      <c r="D37" s="10"/>
      <c r="E37" s="32"/>
      <c r="F37" s="27"/>
      <c r="G37" s="18">
        <f t="shared" si="0"/>
        <v>1014</v>
      </c>
      <c r="H37" s="28"/>
      <c r="I37" s="29"/>
    </row>
    <row r="38" spans="1:9" ht="18" customHeight="1" x14ac:dyDescent="0.25">
      <c r="A38" s="14"/>
      <c r="B38" s="8"/>
      <c r="C38" s="15"/>
      <c r="D38" s="10"/>
      <c r="E38" s="32"/>
      <c r="F38" s="27"/>
      <c r="G38" s="18">
        <f t="shared" si="0"/>
        <v>1014</v>
      </c>
      <c r="H38" s="28"/>
      <c r="I38" s="29"/>
    </row>
    <row r="39" spans="1:9" ht="18" customHeight="1" x14ac:dyDescent="0.25">
      <c r="A39" s="14"/>
      <c r="B39" s="8"/>
      <c r="C39" s="15"/>
      <c r="D39" s="10"/>
      <c r="E39" s="32"/>
      <c r="F39" s="27"/>
      <c r="G39" s="18">
        <f t="shared" si="0"/>
        <v>1014</v>
      </c>
      <c r="H39" s="28"/>
      <c r="I39" s="29"/>
    </row>
    <row r="40" spans="1:9" ht="18" customHeight="1" x14ac:dyDescent="0.25">
      <c r="A40" s="14"/>
      <c r="B40" s="8"/>
      <c r="C40" s="15"/>
      <c r="D40" s="10"/>
      <c r="E40" s="32"/>
      <c r="F40" s="27"/>
      <c r="G40" s="18">
        <f t="shared" si="0"/>
        <v>1014</v>
      </c>
      <c r="H40" s="28"/>
      <c r="I40" s="29"/>
    </row>
    <row r="41" spans="1:9" ht="18" customHeight="1" x14ac:dyDescent="0.25">
      <c r="A41" s="14"/>
      <c r="B41" s="8"/>
      <c r="C41" s="15"/>
      <c r="D41" s="10"/>
      <c r="E41" s="32"/>
      <c r="F41" s="27"/>
      <c r="G41" s="18">
        <f t="shared" si="0"/>
        <v>1014</v>
      </c>
      <c r="H41" s="28"/>
      <c r="I41" s="29"/>
    </row>
    <row r="42" spans="1:9" ht="18" customHeight="1" x14ac:dyDescent="0.25">
      <c r="A42" s="14">
        <f>+A36+1</f>
        <v>28</v>
      </c>
      <c r="B42" s="8"/>
      <c r="C42" s="15"/>
      <c r="D42" s="10"/>
      <c r="E42" s="32"/>
      <c r="F42" s="27"/>
      <c r="G42" s="18">
        <f t="shared" si="0"/>
        <v>1014</v>
      </c>
      <c r="H42" s="28"/>
      <c r="I42" s="29"/>
    </row>
    <row r="43" spans="1:9" ht="18" customHeight="1" x14ac:dyDescent="0.25">
      <c r="A43" s="14">
        <f t="shared" si="1"/>
        <v>29</v>
      </c>
      <c r="B43" s="8"/>
      <c r="C43" s="15"/>
      <c r="D43" s="10"/>
      <c r="E43" s="32"/>
      <c r="F43" s="27"/>
      <c r="G43" s="18">
        <f t="shared" si="0"/>
        <v>1014</v>
      </c>
      <c r="H43" s="28"/>
      <c r="I43" s="29"/>
    </row>
    <row r="44" spans="1:9" ht="18" customHeight="1" x14ac:dyDescent="0.25">
      <c r="A44" s="14">
        <f t="shared" si="1"/>
        <v>30</v>
      </c>
      <c r="B44" s="8"/>
      <c r="C44" s="15"/>
      <c r="D44" s="10"/>
      <c r="E44" s="32"/>
      <c r="F44" s="27"/>
      <c r="G44" s="18">
        <f t="shared" si="0"/>
        <v>1014</v>
      </c>
      <c r="H44" s="28"/>
      <c r="I44" s="29"/>
    </row>
    <row r="45" spans="1:9" ht="18" customHeight="1" x14ac:dyDescent="0.25">
      <c r="A45" s="14">
        <f t="shared" si="1"/>
        <v>31</v>
      </c>
      <c r="B45" s="8"/>
      <c r="C45" s="15"/>
      <c r="D45" s="10"/>
      <c r="E45" s="32"/>
      <c r="F45" s="27"/>
      <c r="G45" s="18">
        <f t="shared" si="0"/>
        <v>1014</v>
      </c>
      <c r="H45" s="28"/>
      <c r="I45" s="29"/>
    </row>
    <row r="46" spans="1:9" ht="18" customHeight="1" x14ac:dyDescent="0.25">
      <c r="A46" s="14">
        <f t="shared" si="1"/>
        <v>32</v>
      </c>
      <c r="B46" s="8"/>
      <c r="C46" s="15"/>
      <c r="D46" s="10"/>
      <c r="E46" s="32"/>
      <c r="F46" s="27"/>
      <c r="G46" s="18">
        <f t="shared" si="0"/>
        <v>1014</v>
      </c>
      <c r="H46" s="28"/>
      <c r="I46" s="29"/>
    </row>
    <row r="47" spans="1:9" ht="15" customHeight="1" x14ac:dyDescent="0.25">
      <c r="A47" s="7"/>
      <c r="B47" s="33"/>
      <c r="C47" s="34" t="s">
        <v>13</v>
      </c>
      <c r="D47" s="7"/>
      <c r="E47" s="35">
        <f>SUM(E10:E46)</f>
        <v>1014</v>
      </c>
      <c r="F47" s="35">
        <f>SUM(F10:F46)</f>
        <v>0</v>
      </c>
      <c r="G47" s="35">
        <f>+E47-F47+G9</f>
        <v>1014</v>
      </c>
      <c r="H47" s="35"/>
      <c r="I47" s="36"/>
    </row>
    <row r="48" spans="1:9" ht="15" customHeight="1" x14ac:dyDescent="0.25">
      <c r="B48" s="1"/>
      <c r="E48" s="26"/>
      <c r="F48" s="26"/>
    </row>
    <row r="49" spans="2:2" ht="15" customHeight="1" x14ac:dyDescent="0.25">
      <c r="B49" s="1"/>
    </row>
    <row r="50" spans="2:2" ht="15" customHeight="1" x14ac:dyDescent="0.25">
      <c r="B50" s="1"/>
    </row>
    <row r="51" spans="2:2" ht="15" customHeight="1" x14ac:dyDescent="0.25">
      <c r="B51" s="1"/>
    </row>
    <row r="52" spans="2:2" ht="15" customHeight="1" x14ac:dyDescent="0.25">
      <c r="B52" s="1"/>
    </row>
    <row r="53" spans="2:2" ht="15" customHeight="1" x14ac:dyDescent="0.25">
      <c r="B53" s="1"/>
    </row>
    <row r="54" spans="2:2" ht="15" customHeight="1" x14ac:dyDescent="0.25"/>
    <row r="55" spans="2:2" ht="15" customHeight="1" x14ac:dyDescent="0.25"/>
    <row r="56" spans="2:2" ht="15" customHeight="1" x14ac:dyDescent="0.25"/>
    <row r="57" spans="2:2" ht="15" customHeight="1" x14ac:dyDescent="0.25"/>
    <row r="58" spans="2:2" ht="15" customHeight="1" x14ac:dyDescent="0.25"/>
    <row r="59" spans="2:2" ht="15" customHeight="1" x14ac:dyDescent="0.25"/>
    <row r="60" spans="2:2" ht="15" customHeight="1" x14ac:dyDescent="0.25"/>
    <row r="61" spans="2:2" ht="15" customHeight="1" x14ac:dyDescent="0.25"/>
    <row r="62" spans="2:2" ht="15" customHeight="1" x14ac:dyDescent="0.25"/>
    <row r="63" spans="2:2" ht="15" customHeight="1" x14ac:dyDescent="0.25"/>
    <row r="64" spans="2:2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</sheetData>
  <mergeCells count="1">
    <mergeCell ref="A4:I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/>
  <dimension ref="A1:O59"/>
  <sheetViews>
    <sheetView workbookViewId="0">
      <selection activeCell="I29" sqref="I29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8.5703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271" t="str">
        <f>+'[1]Hộp HV'!A4:I5</f>
        <v>THẺ KHO NGUYÊN VẬT LIỆU</v>
      </c>
      <c r="B4" s="271"/>
      <c r="C4" s="271"/>
      <c r="D4" s="271"/>
      <c r="E4" s="271"/>
      <c r="F4" s="271"/>
      <c r="G4" s="271"/>
      <c r="H4" s="271"/>
      <c r="I4" s="271"/>
    </row>
    <row r="5" spans="1:10" x14ac:dyDescent="0.25">
      <c r="A5" s="271"/>
      <c r="B5" s="271"/>
      <c r="C5" s="271"/>
      <c r="D5" s="271"/>
      <c r="E5" s="271"/>
      <c r="F5" s="271"/>
      <c r="G5" s="271"/>
      <c r="H5" s="271"/>
      <c r="I5" s="271"/>
    </row>
    <row r="7" spans="1:10" ht="27.75" customHeight="1" x14ac:dyDescent="0.25">
      <c r="A7" s="4" t="s">
        <v>3</v>
      </c>
      <c r="B7" s="4" t="s">
        <v>4</v>
      </c>
      <c r="C7" s="4" t="s">
        <v>31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8" customHeight="1" x14ac:dyDescent="0.25">
      <c r="A8" s="7"/>
      <c r="B8" s="8"/>
      <c r="C8" s="9"/>
      <c r="D8" s="10"/>
      <c r="E8" s="11"/>
      <c r="F8" s="12"/>
      <c r="G8" s="13"/>
      <c r="H8" s="7"/>
      <c r="I8" s="7"/>
    </row>
    <row r="9" spans="1:10" ht="18" customHeight="1" x14ac:dyDescent="0.25">
      <c r="A9" s="14">
        <v>1</v>
      </c>
      <c r="B9" s="8">
        <v>45709</v>
      </c>
      <c r="C9" s="15" t="s">
        <v>54</v>
      </c>
      <c r="D9" s="7" t="s">
        <v>55</v>
      </c>
      <c r="E9" s="54">
        <v>315</v>
      </c>
      <c r="F9" s="52"/>
      <c r="G9" s="18">
        <f t="shared" ref="G9:G58" si="0">+G8+E9-F9</f>
        <v>315</v>
      </c>
      <c r="H9" s="28"/>
      <c r="I9" s="7"/>
      <c r="J9" s="26"/>
    </row>
    <row r="10" spans="1:10" ht="18" customHeight="1" x14ac:dyDescent="0.25">
      <c r="A10" s="14">
        <f t="shared" ref="A10:A58" si="1">+A9+1</f>
        <v>2</v>
      </c>
      <c r="B10" s="8">
        <v>45712</v>
      </c>
      <c r="C10" s="15"/>
      <c r="D10" s="7"/>
      <c r="E10" s="54">
        <v>380</v>
      </c>
      <c r="F10" s="52"/>
      <c r="G10" s="18">
        <f t="shared" si="0"/>
        <v>695</v>
      </c>
      <c r="H10" s="28"/>
      <c r="I10" s="7"/>
    </row>
    <row r="11" spans="1:10" ht="18" customHeight="1" x14ac:dyDescent="0.25">
      <c r="A11" s="14">
        <f t="shared" si="1"/>
        <v>3</v>
      </c>
      <c r="B11" s="8">
        <v>45714</v>
      </c>
      <c r="C11" s="15"/>
      <c r="D11" s="7"/>
      <c r="E11" s="54"/>
      <c r="F11" s="52">
        <v>90</v>
      </c>
      <c r="G11" s="18">
        <f t="shared" si="0"/>
        <v>605</v>
      </c>
      <c r="H11" s="28"/>
      <c r="I11" s="7"/>
    </row>
    <row r="12" spans="1:10" ht="18" customHeight="1" x14ac:dyDescent="0.25">
      <c r="A12" s="14">
        <f t="shared" si="1"/>
        <v>4</v>
      </c>
      <c r="B12" s="8">
        <v>45715</v>
      </c>
      <c r="C12" s="15"/>
      <c r="D12" s="7"/>
      <c r="E12" s="54"/>
      <c r="F12" s="53">
        <v>73</v>
      </c>
      <c r="G12" s="18">
        <f t="shared" si="0"/>
        <v>532</v>
      </c>
      <c r="H12" s="28"/>
      <c r="I12" s="7"/>
    </row>
    <row r="13" spans="1:10" ht="18" customHeight="1" x14ac:dyDescent="0.25">
      <c r="A13" s="14">
        <f t="shared" si="1"/>
        <v>5</v>
      </c>
      <c r="B13" s="8">
        <v>45716</v>
      </c>
      <c r="C13" s="15"/>
      <c r="D13" s="7"/>
      <c r="E13" s="54">
        <v>200</v>
      </c>
      <c r="F13" s="53"/>
      <c r="G13" s="18">
        <f t="shared" si="0"/>
        <v>732</v>
      </c>
      <c r="H13" s="28"/>
      <c r="I13" s="7"/>
    </row>
    <row r="14" spans="1:10" s="181" customFormat="1" ht="18" customHeight="1" x14ac:dyDescent="0.25">
      <c r="A14" s="106">
        <f t="shared" si="1"/>
        <v>6</v>
      </c>
      <c r="B14" s="107">
        <v>45720</v>
      </c>
      <c r="C14" s="171"/>
      <c r="D14" s="174"/>
      <c r="E14" s="173"/>
      <c r="F14" s="180">
        <v>26</v>
      </c>
      <c r="G14" s="110">
        <f t="shared" si="0"/>
        <v>706</v>
      </c>
      <c r="H14" s="198"/>
      <c r="I14" s="174"/>
    </row>
    <row r="15" spans="1:10" s="181" customFormat="1" ht="18" customHeight="1" x14ac:dyDescent="0.25">
      <c r="A15" s="106">
        <f t="shared" si="1"/>
        <v>7</v>
      </c>
      <c r="B15" s="107">
        <v>45721</v>
      </c>
      <c r="C15" s="171"/>
      <c r="D15" s="174"/>
      <c r="E15" s="173"/>
      <c r="F15" s="180">
        <v>120</v>
      </c>
      <c r="G15" s="110">
        <f t="shared" si="0"/>
        <v>586</v>
      </c>
      <c r="H15" s="198"/>
      <c r="I15" s="174"/>
    </row>
    <row r="16" spans="1:10" s="181" customFormat="1" ht="18" customHeight="1" x14ac:dyDescent="0.25">
      <c r="A16" s="106">
        <f t="shared" si="1"/>
        <v>8</v>
      </c>
      <c r="B16" s="199">
        <v>45722</v>
      </c>
      <c r="C16" s="171"/>
      <c r="D16" s="174"/>
      <c r="E16" s="173"/>
      <c r="F16" s="180">
        <v>115</v>
      </c>
      <c r="G16" s="110">
        <f t="shared" si="0"/>
        <v>471</v>
      </c>
      <c r="H16" s="198"/>
      <c r="I16" s="174"/>
    </row>
    <row r="17" spans="1:12" s="181" customFormat="1" ht="18" customHeight="1" x14ac:dyDescent="0.25">
      <c r="A17" s="106">
        <f t="shared" si="1"/>
        <v>9</v>
      </c>
      <c r="B17" s="107">
        <v>45724</v>
      </c>
      <c r="C17" s="171"/>
      <c r="D17" s="174"/>
      <c r="E17" s="173"/>
      <c r="F17" s="180">
        <v>58</v>
      </c>
      <c r="G17" s="110">
        <f t="shared" si="0"/>
        <v>413</v>
      </c>
      <c r="H17" s="198"/>
      <c r="I17" s="174"/>
    </row>
    <row r="18" spans="1:12" s="181" customFormat="1" ht="18" customHeight="1" x14ac:dyDescent="0.25">
      <c r="A18" s="106">
        <f t="shared" si="1"/>
        <v>10</v>
      </c>
      <c r="B18" s="107">
        <v>45726</v>
      </c>
      <c r="C18" s="171"/>
      <c r="D18" s="174"/>
      <c r="E18" s="173"/>
      <c r="F18" s="180">
        <v>90</v>
      </c>
      <c r="G18" s="110">
        <f>+G17+E18-F18</f>
        <v>323</v>
      </c>
      <c r="H18" s="198"/>
      <c r="I18" s="174"/>
    </row>
    <row r="19" spans="1:12" s="181" customFormat="1" ht="18" customHeight="1" x14ac:dyDescent="0.25">
      <c r="A19" s="106">
        <f t="shared" si="1"/>
        <v>11</v>
      </c>
      <c r="B19" s="107"/>
      <c r="C19" s="171"/>
      <c r="D19" s="174"/>
      <c r="E19" s="173">
        <v>300</v>
      </c>
      <c r="F19" s="180">
        <v>135</v>
      </c>
      <c r="G19" s="110">
        <f>+G18+E19-F19</f>
        <v>488</v>
      </c>
      <c r="H19" s="198"/>
      <c r="I19" s="174"/>
    </row>
    <row r="20" spans="1:12" s="181" customFormat="1" ht="18" customHeight="1" x14ac:dyDescent="0.25">
      <c r="A20" s="106">
        <f t="shared" si="1"/>
        <v>12</v>
      </c>
      <c r="B20" s="107">
        <v>45728</v>
      </c>
      <c r="C20" s="171"/>
      <c r="D20" s="174"/>
      <c r="E20" s="173"/>
      <c r="F20" s="31">
        <v>41</v>
      </c>
      <c r="G20" s="110">
        <f t="shared" si="0"/>
        <v>447</v>
      </c>
      <c r="H20" s="198"/>
      <c r="I20" s="174"/>
    </row>
    <row r="21" spans="1:12" s="181" customFormat="1" ht="18" customHeight="1" x14ac:dyDescent="0.25">
      <c r="A21" s="106"/>
      <c r="B21" s="107">
        <v>45729</v>
      </c>
      <c r="C21" s="171"/>
      <c r="D21" s="174"/>
      <c r="E21" s="173"/>
      <c r="F21" s="31">
        <v>41</v>
      </c>
      <c r="G21" s="110">
        <f t="shared" si="0"/>
        <v>406</v>
      </c>
      <c r="H21" s="198"/>
      <c r="I21" s="174"/>
    </row>
    <row r="22" spans="1:12" s="181" customFormat="1" ht="18" customHeight="1" x14ac:dyDescent="0.25">
      <c r="A22" s="106">
        <f>+A20+1</f>
        <v>13</v>
      </c>
      <c r="B22" s="107">
        <v>45731</v>
      </c>
      <c r="C22" s="171"/>
      <c r="D22" s="174"/>
      <c r="E22" s="173"/>
      <c r="F22" s="31">
        <f>129+3</f>
        <v>132</v>
      </c>
      <c r="G22" s="110">
        <f t="shared" si="0"/>
        <v>274</v>
      </c>
      <c r="H22" s="198"/>
      <c r="I22" s="174"/>
    </row>
    <row r="23" spans="1:12" s="181" customFormat="1" ht="18" customHeight="1" x14ac:dyDescent="0.25">
      <c r="A23" s="106">
        <f t="shared" si="1"/>
        <v>14</v>
      </c>
      <c r="B23" s="107">
        <v>45733</v>
      </c>
      <c r="C23" s="171"/>
      <c r="D23" s="174"/>
      <c r="E23" s="173"/>
      <c r="F23" s="31">
        <v>191</v>
      </c>
      <c r="G23" s="110">
        <f t="shared" si="0"/>
        <v>83</v>
      </c>
      <c r="H23" s="198"/>
      <c r="I23" s="174"/>
    </row>
    <row r="24" spans="1:12" s="181" customFormat="1" ht="18" customHeight="1" x14ac:dyDescent="0.25">
      <c r="A24" s="106">
        <f t="shared" si="1"/>
        <v>15</v>
      </c>
      <c r="B24" s="107">
        <v>45706</v>
      </c>
      <c r="C24" s="171"/>
      <c r="D24" s="174"/>
      <c r="E24" s="173">
        <v>200</v>
      </c>
      <c r="F24" s="31">
        <v>184</v>
      </c>
      <c r="G24" s="110">
        <f t="shared" si="0"/>
        <v>99</v>
      </c>
      <c r="H24" s="198"/>
      <c r="I24" s="174"/>
      <c r="L24" s="181">
        <f>249*16</f>
        <v>3984</v>
      </c>
    </row>
    <row r="25" spans="1:12" s="181" customFormat="1" ht="18" customHeight="1" x14ac:dyDescent="0.25">
      <c r="A25" s="106">
        <f t="shared" si="1"/>
        <v>16</v>
      </c>
      <c r="B25" s="107">
        <v>45735</v>
      </c>
      <c r="C25" s="171"/>
      <c r="D25" s="174"/>
      <c r="E25" s="173"/>
      <c r="F25" s="180">
        <v>80</v>
      </c>
      <c r="G25" s="110">
        <f t="shared" si="0"/>
        <v>19</v>
      </c>
      <c r="H25" s="198"/>
      <c r="I25" s="174"/>
      <c r="J25" s="181">
        <f>274-82</f>
        <v>192</v>
      </c>
    </row>
    <row r="26" spans="1:12" s="181" customFormat="1" ht="18" customHeight="1" x14ac:dyDescent="0.25">
      <c r="A26" s="106">
        <f t="shared" si="1"/>
        <v>17</v>
      </c>
      <c r="B26" s="107">
        <v>45737</v>
      </c>
      <c r="C26" s="171"/>
      <c r="D26" s="174"/>
      <c r="E26" s="173">
        <v>1088</v>
      </c>
      <c r="F26" s="31"/>
      <c r="G26" s="110">
        <f t="shared" si="0"/>
        <v>1107</v>
      </c>
      <c r="H26" s="198"/>
      <c r="I26" s="174"/>
    </row>
    <row r="27" spans="1:12" ht="18" customHeight="1" x14ac:dyDescent="0.25">
      <c r="A27" s="14">
        <f t="shared" si="1"/>
        <v>18</v>
      </c>
      <c r="B27" s="8">
        <v>45749</v>
      </c>
      <c r="C27" s="15"/>
      <c r="D27" s="7"/>
      <c r="E27" s="54"/>
      <c r="F27" s="52">
        <v>176</v>
      </c>
      <c r="G27" s="18">
        <f t="shared" si="0"/>
        <v>931</v>
      </c>
      <c r="H27" s="28"/>
      <c r="I27" s="7"/>
    </row>
    <row r="28" spans="1:12" ht="18" customHeight="1" x14ac:dyDescent="0.25">
      <c r="A28" s="14">
        <f t="shared" si="1"/>
        <v>19</v>
      </c>
      <c r="B28" s="8">
        <v>45750</v>
      </c>
      <c r="C28" s="15"/>
      <c r="D28" s="7"/>
      <c r="E28" s="54"/>
      <c r="F28" s="52">
        <v>35</v>
      </c>
      <c r="G28" s="18">
        <f t="shared" si="0"/>
        <v>896</v>
      </c>
      <c r="H28" s="28"/>
      <c r="I28" s="7"/>
    </row>
    <row r="29" spans="1:12" ht="18" customHeight="1" x14ac:dyDescent="0.25">
      <c r="A29" s="14">
        <f t="shared" si="1"/>
        <v>20</v>
      </c>
      <c r="B29" s="8">
        <v>45751</v>
      </c>
      <c r="C29" s="15"/>
      <c r="D29" s="7"/>
      <c r="E29" s="54"/>
      <c r="F29" s="53">
        <v>139</v>
      </c>
      <c r="G29" s="18">
        <f t="shared" si="0"/>
        <v>757</v>
      </c>
      <c r="H29" s="28"/>
      <c r="I29" s="7"/>
    </row>
    <row r="30" spans="1:12" ht="18" customHeight="1" x14ac:dyDescent="0.25">
      <c r="A30" s="14">
        <f t="shared" si="1"/>
        <v>21</v>
      </c>
      <c r="B30" s="8">
        <v>45752</v>
      </c>
      <c r="C30" s="15"/>
      <c r="D30" s="7"/>
      <c r="E30" s="54"/>
      <c r="F30" s="52">
        <v>66</v>
      </c>
      <c r="G30" s="18">
        <f t="shared" si="0"/>
        <v>691</v>
      </c>
      <c r="H30" s="28"/>
      <c r="I30" s="7"/>
    </row>
    <row r="31" spans="1:12" ht="18" customHeight="1" x14ac:dyDescent="0.25">
      <c r="A31" s="14">
        <f t="shared" si="1"/>
        <v>22</v>
      </c>
      <c r="B31" s="8">
        <v>45763</v>
      </c>
      <c r="C31" s="15"/>
      <c r="D31" s="7"/>
      <c r="E31" s="54"/>
      <c r="F31" s="52">
        <v>161</v>
      </c>
      <c r="G31" s="18">
        <f t="shared" si="0"/>
        <v>530</v>
      </c>
      <c r="H31" s="28"/>
      <c r="I31" s="7"/>
      <c r="J31" s="26"/>
    </row>
    <row r="32" spans="1:12" ht="18" customHeight="1" x14ac:dyDescent="0.25">
      <c r="A32" s="14">
        <f t="shared" si="1"/>
        <v>23</v>
      </c>
      <c r="B32" s="8">
        <v>45768</v>
      </c>
      <c r="C32" s="15"/>
      <c r="D32" s="7"/>
      <c r="E32" s="54"/>
      <c r="F32" s="52">
        <v>69</v>
      </c>
      <c r="G32" s="18">
        <f t="shared" si="0"/>
        <v>461</v>
      </c>
      <c r="H32" s="28"/>
      <c r="I32" s="7"/>
    </row>
    <row r="33" spans="1:15" ht="18" customHeight="1" x14ac:dyDescent="0.25">
      <c r="A33" s="14">
        <f t="shared" si="1"/>
        <v>24</v>
      </c>
      <c r="B33" s="8">
        <v>45769</v>
      </c>
      <c r="C33" s="15"/>
      <c r="D33" s="7"/>
      <c r="E33" s="54"/>
      <c r="F33" s="52">
        <v>69</v>
      </c>
      <c r="G33" s="18">
        <f t="shared" si="0"/>
        <v>392</v>
      </c>
      <c r="H33" s="28"/>
      <c r="I33" s="7"/>
    </row>
    <row r="34" spans="1:15" ht="18" customHeight="1" x14ac:dyDescent="0.25">
      <c r="A34" s="14">
        <f t="shared" si="1"/>
        <v>25</v>
      </c>
      <c r="B34" s="8">
        <v>45774</v>
      </c>
      <c r="C34" s="15"/>
      <c r="D34" s="7"/>
      <c r="E34" s="54"/>
      <c r="F34" s="52">
        <v>138</v>
      </c>
      <c r="G34" s="18">
        <f t="shared" si="0"/>
        <v>254</v>
      </c>
      <c r="H34" s="28"/>
      <c r="I34" s="7"/>
      <c r="O34">
        <f>6*20+8</f>
        <v>128</v>
      </c>
    </row>
    <row r="35" spans="1:15" ht="18" customHeight="1" x14ac:dyDescent="0.25">
      <c r="A35" s="14">
        <f t="shared" si="1"/>
        <v>26</v>
      </c>
      <c r="B35" s="8">
        <v>45776</v>
      </c>
      <c r="C35" s="15"/>
      <c r="D35" s="7"/>
      <c r="E35" s="54"/>
      <c r="F35" s="52">
        <v>41</v>
      </c>
      <c r="G35" s="18">
        <f t="shared" si="0"/>
        <v>213</v>
      </c>
      <c r="H35" s="28"/>
      <c r="I35" s="7"/>
      <c r="O35">
        <f>+O34*16+5</f>
        <v>2053</v>
      </c>
    </row>
    <row r="36" spans="1:15" ht="18" customHeight="1" x14ac:dyDescent="0.25">
      <c r="A36" s="14">
        <f t="shared" si="1"/>
        <v>27</v>
      </c>
      <c r="B36" s="8">
        <v>45782</v>
      </c>
      <c r="C36" s="15"/>
      <c r="D36" s="7"/>
      <c r="E36" s="54"/>
      <c r="F36" s="52">
        <v>143</v>
      </c>
      <c r="G36" s="18">
        <f t="shared" si="0"/>
        <v>70</v>
      </c>
      <c r="H36" s="28"/>
      <c r="I36" s="7"/>
      <c r="O36">
        <f>+O35*91</f>
        <v>186823</v>
      </c>
    </row>
    <row r="37" spans="1:15" ht="18" customHeight="1" x14ac:dyDescent="0.25">
      <c r="A37" s="14">
        <f t="shared" si="1"/>
        <v>28</v>
      </c>
      <c r="B37" s="8">
        <v>45785</v>
      </c>
      <c r="C37" s="15"/>
      <c r="D37" s="7"/>
      <c r="E37" s="54"/>
      <c r="F37" s="52">
        <v>40</v>
      </c>
      <c r="G37" s="18">
        <f t="shared" si="0"/>
        <v>30</v>
      </c>
      <c r="H37" s="28"/>
      <c r="I37" s="7"/>
    </row>
    <row r="38" spans="1:15" ht="18" customHeight="1" x14ac:dyDescent="0.25">
      <c r="A38" s="14">
        <f t="shared" si="1"/>
        <v>29</v>
      </c>
      <c r="B38" s="8">
        <v>45799</v>
      </c>
      <c r="C38" s="15"/>
      <c r="D38" s="7"/>
      <c r="E38" s="54"/>
      <c r="F38" s="52">
        <v>30</v>
      </c>
      <c r="G38" s="18">
        <f t="shared" si="0"/>
        <v>0</v>
      </c>
      <c r="H38" s="28"/>
      <c r="I38" s="7"/>
      <c r="L38">
        <f>4*20+8</f>
        <v>88</v>
      </c>
    </row>
    <row r="39" spans="1:15" ht="18" customHeight="1" x14ac:dyDescent="0.25">
      <c r="A39" s="14">
        <f t="shared" si="1"/>
        <v>30</v>
      </c>
      <c r="B39" s="8"/>
      <c r="C39" s="15"/>
      <c r="D39" s="7"/>
      <c r="E39" s="54"/>
      <c r="F39" s="52"/>
      <c r="G39" s="18">
        <f t="shared" si="0"/>
        <v>0</v>
      </c>
      <c r="H39" s="28"/>
      <c r="I39" s="7"/>
      <c r="L39">
        <f>+L38*16</f>
        <v>1408</v>
      </c>
    </row>
    <row r="40" spans="1:15" ht="18" customHeight="1" x14ac:dyDescent="0.25">
      <c r="A40" s="14">
        <f t="shared" si="1"/>
        <v>31</v>
      </c>
      <c r="B40" s="8"/>
      <c r="C40" s="15"/>
      <c r="D40" s="7"/>
      <c r="E40" s="54"/>
      <c r="F40" s="52"/>
      <c r="G40" s="18">
        <f t="shared" si="0"/>
        <v>0</v>
      </c>
      <c r="H40" s="28"/>
      <c r="I40" s="7"/>
      <c r="L40">
        <f>+L39*91</f>
        <v>128128</v>
      </c>
    </row>
    <row r="41" spans="1:15" ht="18" customHeight="1" x14ac:dyDescent="0.25">
      <c r="A41" s="14">
        <f t="shared" si="1"/>
        <v>32</v>
      </c>
      <c r="B41" s="8"/>
      <c r="C41" s="15"/>
      <c r="D41" s="7"/>
      <c r="E41" s="54"/>
      <c r="F41" s="52"/>
      <c r="G41" s="18">
        <f t="shared" si="0"/>
        <v>0</v>
      </c>
      <c r="H41" s="28"/>
      <c r="I41" s="7"/>
      <c r="L41">
        <f>+L40/2810</f>
        <v>45.59715302491103</v>
      </c>
      <c r="N41">
        <f>6*20+1</f>
        <v>121</v>
      </c>
    </row>
    <row r="42" spans="1:15" ht="18" customHeight="1" x14ac:dyDescent="0.25">
      <c r="A42" s="14">
        <f t="shared" si="1"/>
        <v>33</v>
      </c>
      <c r="B42" s="8"/>
      <c r="C42" s="15"/>
      <c r="D42" s="7"/>
      <c r="E42" s="54"/>
      <c r="F42" s="52"/>
      <c r="G42" s="18">
        <f t="shared" si="0"/>
        <v>0</v>
      </c>
      <c r="H42" s="28"/>
      <c r="I42" s="7"/>
      <c r="N42">
        <f>2*20</f>
        <v>40</v>
      </c>
    </row>
    <row r="43" spans="1:15" ht="18" customHeight="1" x14ac:dyDescent="0.25">
      <c r="A43" s="14">
        <f t="shared" si="1"/>
        <v>34</v>
      </c>
      <c r="B43" s="8"/>
      <c r="C43" s="15"/>
      <c r="D43" s="7"/>
      <c r="E43" s="54"/>
      <c r="F43" s="52"/>
      <c r="G43" s="18">
        <f t="shared" si="0"/>
        <v>0</v>
      </c>
      <c r="H43" s="28"/>
      <c r="I43" s="7"/>
      <c r="N43">
        <f>+N42+N41</f>
        <v>161</v>
      </c>
    </row>
    <row r="44" spans="1:15" ht="18" customHeight="1" x14ac:dyDescent="0.25">
      <c r="A44" s="14">
        <f t="shared" si="1"/>
        <v>35</v>
      </c>
      <c r="B44" s="8"/>
      <c r="C44" s="15"/>
      <c r="D44" s="7"/>
      <c r="E44" s="54"/>
      <c r="F44" s="52"/>
      <c r="G44" s="18">
        <f t="shared" si="0"/>
        <v>0</v>
      </c>
      <c r="H44" s="28"/>
      <c r="I44" s="7"/>
      <c r="N44">
        <f>+N43*16</f>
        <v>2576</v>
      </c>
    </row>
    <row r="45" spans="1:15" ht="18" customHeight="1" x14ac:dyDescent="0.25">
      <c r="A45" s="14">
        <f t="shared" si="1"/>
        <v>36</v>
      </c>
      <c r="B45" s="8"/>
      <c r="C45" s="15"/>
      <c r="D45" s="7"/>
      <c r="E45" s="54"/>
      <c r="F45" s="52"/>
      <c r="G45" s="18">
        <f t="shared" si="0"/>
        <v>0</v>
      </c>
      <c r="H45" s="28"/>
      <c r="I45" s="7"/>
      <c r="N45">
        <f>+N44*91</f>
        <v>234416</v>
      </c>
    </row>
    <row r="46" spans="1:15" ht="18" customHeight="1" x14ac:dyDescent="0.25">
      <c r="A46" s="14">
        <f t="shared" si="1"/>
        <v>37</v>
      </c>
      <c r="B46" s="8"/>
      <c r="C46" s="15"/>
      <c r="D46" s="7"/>
      <c r="E46" s="54"/>
      <c r="F46" s="52"/>
      <c r="G46" s="18">
        <f t="shared" si="0"/>
        <v>0</v>
      </c>
      <c r="H46" s="28"/>
      <c r="I46" s="7"/>
      <c r="N46">
        <f>+N45/2810</f>
        <v>83.422064056939504</v>
      </c>
    </row>
    <row r="47" spans="1:15" ht="18" customHeight="1" x14ac:dyDescent="0.25">
      <c r="A47" s="14">
        <f t="shared" si="1"/>
        <v>38</v>
      </c>
      <c r="B47" s="8"/>
      <c r="C47" s="15"/>
      <c r="D47" s="7"/>
      <c r="E47" s="54"/>
      <c r="F47" s="52"/>
      <c r="G47" s="18">
        <f t="shared" si="0"/>
        <v>0</v>
      </c>
      <c r="H47" s="28"/>
      <c r="I47" s="7"/>
    </row>
    <row r="48" spans="1:15" ht="18" customHeight="1" x14ac:dyDescent="0.25">
      <c r="A48" s="14">
        <f t="shared" si="1"/>
        <v>39</v>
      </c>
      <c r="B48" s="8"/>
      <c r="C48" s="15"/>
      <c r="D48" s="7"/>
      <c r="E48" s="54"/>
      <c r="F48" s="52"/>
      <c r="G48" s="18">
        <f t="shared" si="0"/>
        <v>0</v>
      </c>
      <c r="H48" s="28"/>
      <c r="I48" s="7"/>
    </row>
    <row r="49" spans="1:13" ht="18" customHeight="1" x14ac:dyDescent="0.25">
      <c r="A49" s="14">
        <f t="shared" si="1"/>
        <v>40</v>
      </c>
      <c r="B49" s="8"/>
      <c r="C49" s="15"/>
      <c r="D49" s="7"/>
      <c r="E49" s="54"/>
      <c r="F49" s="52"/>
      <c r="G49" s="18">
        <f t="shared" si="0"/>
        <v>0</v>
      </c>
      <c r="H49" s="28"/>
      <c r="I49" s="7"/>
    </row>
    <row r="50" spans="1:13" ht="18" customHeight="1" x14ac:dyDescent="0.25">
      <c r="A50" s="14">
        <f t="shared" si="1"/>
        <v>41</v>
      </c>
      <c r="B50" s="8"/>
      <c r="C50" s="15"/>
      <c r="D50" s="7"/>
      <c r="E50" s="54"/>
      <c r="F50" s="52"/>
      <c r="G50" s="18">
        <f t="shared" si="0"/>
        <v>0</v>
      </c>
      <c r="H50" s="28"/>
      <c r="I50" s="7"/>
    </row>
    <row r="51" spans="1:13" ht="18" customHeight="1" x14ac:dyDescent="0.25">
      <c r="A51" s="14">
        <f t="shared" si="1"/>
        <v>42</v>
      </c>
      <c r="B51" s="8"/>
      <c r="C51" s="15"/>
      <c r="D51" s="7"/>
      <c r="E51" s="54"/>
      <c r="F51" s="52"/>
      <c r="G51" s="18">
        <f t="shared" si="0"/>
        <v>0</v>
      </c>
      <c r="H51" s="28"/>
      <c r="I51" s="7"/>
    </row>
    <row r="52" spans="1:13" ht="18" customHeight="1" x14ac:dyDescent="0.25">
      <c r="A52" s="14">
        <f t="shared" si="1"/>
        <v>43</v>
      </c>
      <c r="B52" s="8"/>
      <c r="C52" s="15"/>
      <c r="D52" s="7"/>
      <c r="E52" s="54"/>
      <c r="F52" s="52"/>
      <c r="G52" s="18">
        <f t="shared" si="0"/>
        <v>0</v>
      </c>
      <c r="H52" s="28"/>
      <c r="I52" s="7"/>
    </row>
    <row r="53" spans="1:13" ht="18" customHeight="1" x14ac:dyDescent="0.25">
      <c r="A53" s="14">
        <f t="shared" si="1"/>
        <v>44</v>
      </c>
      <c r="B53" s="8"/>
      <c r="C53" s="15"/>
      <c r="D53" s="7"/>
      <c r="E53" s="54"/>
      <c r="F53" s="52"/>
      <c r="G53" s="18">
        <f t="shared" si="0"/>
        <v>0</v>
      </c>
      <c r="H53" s="28"/>
      <c r="I53" s="7"/>
    </row>
    <row r="54" spans="1:13" ht="18" customHeight="1" x14ac:dyDescent="0.25">
      <c r="A54" s="14">
        <f t="shared" si="1"/>
        <v>45</v>
      </c>
      <c r="B54" s="8"/>
      <c r="C54" s="15"/>
      <c r="D54" s="7"/>
      <c r="E54" s="54"/>
      <c r="F54" s="52"/>
      <c r="G54" s="18">
        <f t="shared" si="0"/>
        <v>0</v>
      </c>
      <c r="H54" s="28"/>
      <c r="I54" s="7"/>
      <c r="M54">
        <f>622+603+630+619+639+637+617+640+612+615+633</f>
        <v>6867</v>
      </c>
    </row>
    <row r="55" spans="1:13" ht="18" customHeight="1" x14ac:dyDescent="0.25">
      <c r="A55" s="14">
        <f t="shared" si="1"/>
        <v>46</v>
      </c>
      <c r="B55" s="8"/>
      <c r="C55" s="15"/>
      <c r="D55" s="7"/>
      <c r="E55" s="54"/>
      <c r="F55" s="52"/>
      <c r="G55" s="18">
        <f t="shared" si="0"/>
        <v>0</v>
      </c>
      <c r="H55" s="28"/>
      <c r="I55" s="7"/>
      <c r="M55">
        <f>557+592+544+563+559+558+561+578+570+571+547</f>
        <v>6200</v>
      </c>
    </row>
    <row r="56" spans="1:13" ht="18" customHeight="1" x14ac:dyDescent="0.25">
      <c r="A56" s="14">
        <f t="shared" si="1"/>
        <v>47</v>
      </c>
      <c r="B56" s="8"/>
      <c r="C56" s="15"/>
      <c r="D56" s="7"/>
      <c r="E56" s="54"/>
      <c r="F56" s="52"/>
      <c r="G56" s="18">
        <f t="shared" si="0"/>
        <v>0</v>
      </c>
      <c r="H56" s="28"/>
      <c r="I56" s="7"/>
    </row>
    <row r="57" spans="1:13" ht="18" customHeight="1" x14ac:dyDescent="0.25">
      <c r="A57" s="14">
        <f t="shared" si="1"/>
        <v>48</v>
      </c>
      <c r="B57" s="8"/>
      <c r="C57" s="15"/>
      <c r="D57" s="10"/>
      <c r="E57" s="16"/>
      <c r="F57" s="27"/>
      <c r="G57" s="18">
        <f t="shared" si="0"/>
        <v>0</v>
      </c>
      <c r="H57" s="28"/>
      <c r="I57" s="7"/>
    </row>
    <row r="58" spans="1:13" ht="18" customHeight="1" x14ac:dyDescent="0.25">
      <c r="A58" s="14">
        <f t="shared" si="1"/>
        <v>49</v>
      </c>
      <c r="B58" s="8"/>
      <c r="C58" s="15"/>
      <c r="D58" s="10"/>
      <c r="E58" s="32"/>
      <c r="F58" s="27"/>
      <c r="G58" s="18">
        <f t="shared" si="0"/>
        <v>0</v>
      </c>
      <c r="H58" s="28"/>
      <c r="I58" s="7"/>
    </row>
    <row r="59" spans="1:13" x14ac:dyDescent="0.25">
      <c r="A59" s="7"/>
      <c r="B59" s="33"/>
      <c r="C59" s="34" t="s">
        <v>13</v>
      </c>
      <c r="D59" s="7"/>
      <c r="E59" s="35">
        <f>SUM(E9:E58)</f>
        <v>2483</v>
      </c>
      <c r="F59" s="35">
        <f>SUM(F9:F58)</f>
        <v>2483</v>
      </c>
      <c r="G59" s="35">
        <f>+E59-F59+G8</f>
        <v>0</v>
      </c>
      <c r="H59" s="35"/>
      <c r="I59" s="36"/>
    </row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/>
  <dimension ref="A1:P157"/>
  <sheetViews>
    <sheetView topLeftCell="A121" zoomScaleNormal="100" workbookViewId="0">
      <selection activeCell="J22" sqref="J22"/>
    </sheetView>
  </sheetViews>
  <sheetFormatPr defaultRowHeight="15.75" x14ac:dyDescent="0.25"/>
  <cols>
    <col min="1" max="1" width="6" style="55" customWidth="1"/>
    <col min="2" max="2" width="11.5703125" style="55" customWidth="1"/>
    <col min="3" max="3" width="42.7109375" style="55" customWidth="1"/>
    <col min="4" max="4" width="6.5703125" style="55" customWidth="1"/>
    <col min="5" max="5" width="12.28515625" style="55" customWidth="1"/>
    <col min="6" max="6" width="12" style="55" customWidth="1"/>
    <col min="7" max="7" width="11.7109375" style="55" customWidth="1"/>
    <col min="8" max="8" width="14.28515625" style="55" customWidth="1"/>
    <col min="9" max="9" width="20.28515625" style="55" customWidth="1"/>
    <col min="10" max="10" width="9.140625" style="55"/>
    <col min="11" max="11" width="9.85546875" style="55" bestFit="1" customWidth="1"/>
    <col min="12" max="12" width="11.28515625" style="55" bestFit="1" customWidth="1"/>
    <col min="13" max="16" width="9.140625" style="55"/>
    <col min="17" max="17" width="11.7109375" style="55" bestFit="1" customWidth="1"/>
    <col min="18" max="256" width="9.140625" style="55"/>
    <col min="257" max="257" width="6" style="55" customWidth="1"/>
    <col min="258" max="258" width="11.5703125" style="55" customWidth="1"/>
    <col min="259" max="259" width="42.7109375" style="55" customWidth="1"/>
    <col min="260" max="260" width="6.5703125" style="55" customWidth="1"/>
    <col min="261" max="261" width="12.28515625" style="55" customWidth="1"/>
    <col min="262" max="262" width="12" style="55" customWidth="1"/>
    <col min="263" max="263" width="11.7109375" style="55" customWidth="1"/>
    <col min="264" max="264" width="14.28515625" style="55" customWidth="1"/>
    <col min="265" max="265" width="12.28515625" style="55" customWidth="1"/>
    <col min="266" max="267" width="9.140625" style="55"/>
    <col min="268" max="268" width="11.28515625" style="55" bestFit="1" customWidth="1"/>
    <col min="269" max="272" width="9.140625" style="55"/>
    <col min="273" max="273" width="11.7109375" style="55" bestFit="1" customWidth="1"/>
    <col min="274" max="512" width="9.140625" style="55"/>
    <col min="513" max="513" width="6" style="55" customWidth="1"/>
    <col min="514" max="514" width="11.5703125" style="55" customWidth="1"/>
    <col min="515" max="515" width="42.7109375" style="55" customWidth="1"/>
    <col min="516" max="516" width="6.5703125" style="55" customWidth="1"/>
    <col min="517" max="517" width="12.28515625" style="55" customWidth="1"/>
    <col min="518" max="518" width="12" style="55" customWidth="1"/>
    <col min="519" max="519" width="11.7109375" style="55" customWidth="1"/>
    <col min="520" max="520" width="14.28515625" style="55" customWidth="1"/>
    <col min="521" max="521" width="12.28515625" style="55" customWidth="1"/>
    <col min="522" max="523" width="9.140625" style="55"/>
    <col min="524" max="524" width="11.28515625" style="55" bestFit="1" customWidth="1"/>
    <col min="525" max="528" width="9.140625" style="55"/>
    <col min="529" max="529" width="11.7109375" style="55" bestFit="1" customWidth="1"/>
    <col min="530" max="768" width="9.140625" style="55"/>
    <col min="769" max="769" width="6" style="55" customWidth="1"/>
    <col min="770" max="770" width="11.5703125" style="55" customWidth="1"/>
    <col min="771" max="771" width="42.7109375" style="55" customWidth="1"/>
    <col min="772" max="772" width="6.5703125" style="55" customWidth="1"/>
    <col min="773" max="773" width="12.28515625" style="55" customWidth="1"/>
    <col min="774" max="774" width="12" style="55" customWidth="1"/>
    <col min="775" max="775" width="11.7109375" style="55" customWidth="1"/>
    <col min="776" max="776" width="14.28515625" style="55" customWidth="1"/>
    <col min="777" max="777" width="12.28515625" style="55" customWidth="1"/>
    <col min="778" max="779" width="9.140625" style="55"/>
    <col min="780" max="780" width="11.28515625" style="55" bestFit="1" customWidth="1"/>
    <col min="781" max="784" width="9.140625" style="55"/>
    <col min="785" max="785" width="11.7109375" style="55" bestFit="1" customWidth="1"/>
    <col min="786" max="1024" width="9.140625" style="55"/>
    <col min="1025" max="1025" width="6" style="55" customWidth="1"/>
    <col min="1026" max="1026" width="11.5703125" style="55" customWidth="1"/>
    <col min="1027" max="1027" width="42.7109375" style="55" customWidth="1"/>
    <col min="1028" max="1028" width="6.5703125" style="55" customWidth="1"/>
    <col min="1029" max="1029" width="12.28515625" style="55" customWidth="1"/>
    <col min="1030" max="1030" width="12" style="55" customWidth="1"/>
    <col min="1031" max="1031" width="11.7109375" style="55" customWidth="1"/>
    <col min="1032" max="1032" width="14.28515625" style="55" customWidth="1"/>
    <col min="1033" max="1033" width="12.28515625" style="55" customWidth="1"/>
    <col min="1034" max="1035" width="9.140625" style="55"/>
    <col min="1036" max="1036" width="11.28515625" style="55" bestFit="1" customWidth="1"/>
    <col min="1037" max="1040" width="9.140625" style="55"/>
    <col min="1041" max="1041" width="11.7109375" style="55" bestFit="1" customWidth="1"/>
    <col min="1042" max="1280" width="9.140625" style="55"/>
    <col min="1281" max="1281" width="6" style="55" customWidth="1"/>
    <col min="1282" max="1282" width="11.5703125" style="55" customWidth="1"/>
    <col min="1283" max="1283" width="42.7109375" style="55" customWidth="1"/>
    <col min="1284" max="1284" width="6.5703125" style="55" customWidth="1"/>
    <col min="1285" max="1285" width="12.28515625" style="55" customWidth="1"/>
    <col min="1286" max="1286" width="12" style="55" customWidth="1"/>
    <col min="1287" max="1287" width="11.7109375" style="55" customWidth="1"/>
    <col min="1288" max="1288" width="14.28515625" style="55" customWidth="1"/>
    <col min="1289" max="1289" width="12.28515625" style="55" customWidth="1"/>
    <col min="1290" max="1291" width="9.140625" style="55"/>
    <col min="1292" max="1292" width="11.28515625" style="55" bestFit="1" customWidth="1"/>
    <col min="1293" max="1296" width="9.140625" style="55"/>
    <col min="1297" max="1297" width="11.7109375" style="55" bestFit="1" customWidth="1"/>
    <col min="1298" max="1536" width="9.140625" style="55"/>
    <col min="1537" max="1537" width="6" style="55" customWidth="1"/>
    <col min="1538" max="1538" width="11.5703125" style="55" customWidth="1"/>
    <col min="1539" max="1539" width="42.7109375" style="55" customWidth="1"/>
    <col min="1540" max="1540" width="6.5703125" style="55" customWidth="1"/>
    <col min="1541" max="1541" width="12.28515625" style="55" customWidth="1"/>
    <col min="1542" max="1542" width="12" style="55" customWidth="1"/>
    <col min="1543" max="1543" width="11.7109375" style="55" customWidth="1"/>
    <col min="1544" max="1544" width="14.28515625" style="55" customWidth="1"/>
    <col min="1545" max="1545" width="12.28515625" style="55" customWidth="1"/>
    <col min="1546" max="1547" width="9.140625" style="55"/>
    <col min="1548" max="1548" width="11.28515625" style="55" bestFit="1" customWidth="1"/>
    <col min="1549" max="1552" width="9.140625" style="55"/>
    <col min="1553" max="1553" width="11.7109375" style="55" bestFit="1" customWidth="1"/>
    <col min="1554" max="1792" width="9.140625" style="55"/>
    <col min="1793" max="1793" width="6" style="55" customWidth="1"/>
    <col min="1794" max="1794" width="11.5703125" style="55" customWidth="1"/>
    <col min="1795" max="1795" width="42.7109375" style="55" customWidth="1"/>
    <col min="1796" max="1796" width="6.5703125" style="55" customWidth="1"/>
    <col min="1797" max="1797" width="12.28515625" style="55" customWidth="1"/>
    <col min="1798" max="1798" width="12" style="55" customWidth="1"/>
    <col min="1799" max="1799" width="11.7109375" style="55" customWidth="1"/>
    <col min="1800" max="1800" width="14.28515625" style="55" customWidth="1"/>
    <col min="1801" max="1801" width="12.28515625" style="55" customWidth="1"/>
    <col min="1802" max="1803" width="9.140625" style="55"/>
    <col min="1804" max="1804" width="11.28515625" style="55" bestFit="1" customWidth="1"/>
    <col min="1805" max="1808" width="9.140625" style="55"/>
    <col min="1809" max="1809" width="11.7109375" style="55" bestFit="1" customWidth="1"/>
    <col min="1810" max="2048" width="9.140625" style="55"/>
    <col min="2049" max="2049" width="6" style="55" customWidth="1"/>
    <col min="2050" max="2050" width="11.5703125" style="55" customWidth="1"/>
    <col min="2051" max="2051" width="42.7109375" style="55" customWidth="1"/>
    <col min="2052" max="2052" width="6.5703125" style="55" customWidth="1"/>
    <col min="2053" max="2053" width="12.28515625" style="55" customWidth="1"/>
    <col min="2054" max="2054" width="12" style="55" customWidth="1"/>
    <col min="2055" max="2055" width="11.7109375" style="55" customWidth="1"/>
    <col min="2056" max="2056" width="14.28515625" style="55" customWidth="1"/>
    <col min="2057" max="2057" width="12.28515625" style="55" customWidth="1"/>
    <col min="2058" max="2059" width="9.140625" style="55"/>
    <col min="2060" max="2060" width="11.28515625" style="55" bestFit="1" customWidth="1"/>
    <col min="2061" max="2064" width="9.140625" style="55"/>
    <col min="2065" max="2065" width="11.7109375" style="55" bestFit="1" customWidth="1"/>
    <col min="2066" max="2304" width="9.140625" style="55"/>
    <col min="2305" max="2305" width="6" style="55" customWidth="1"/>
    <col min="2306" max="2306" width="11.5703125" style="55" customWidth="1"/>
    <col min="2307" max="2307" width="42.7109375" style="55" customWidth="1"/>
    <col min="2308" max="2308" width="6.5703125" style="55" customWidth="1"/>
    <col min="2309" max="2309" width="12.28515625" style="55" customWidth="1"/>
    <col min="2310" max="2310" width="12" style="55" customWidth="1"/>
    <col min="2311" max="2311" width="11.7109375" style="55" customWidth="1"/>
    <col min="2312" max="2312" width="14.28515625" style="55" customWidth="1"/>
    <col min="2313" max="2313" width="12.28515625" style="55" customWidth="1"/>
    <col min="2314" max="2315" width="9.140625" style="55"/>
    <col min="2316" max="2316" width="11.28515625" style="55" bestFit="1" customWidth="1"/>
    <col min="2317" max="2320" width="9.140625" style="55"/>
    <col min="2321" max="2321" width="11.7109375" style="55" bestFit="1" customWidth="1"/>
    <col min="2322" max="2560" width="9.140625" style="55"/>
    <col min="2561" max="2561" width="6" style="55" customWidth="1"/>
    <col min="2562" max="2562" width="11.5703125" style="55" customWidth="1"/>
    <col min="2563" max="2563" width="42.7109375" style="55" customWidth="1"/>
    <col min="2564" max="2564" width="6.5703125" style="55" customWidth="1"/>
    <col min="2565" max="2565" width="12.28515625" style="55" customWidth="1"/>
    <col min="2566" max="2566" width="12" style="55" customWidth="1"/>
    <col min="2567" max="2567" width="11.7109375" style="55" customWidth="1"/>
    <col min="2568" max="2568" width="14.28515625" style="55" customWidth="1"/>
    <col min="2569" max="2569" width="12.28515625" style="55" customWidth="1"/>
    <col min="2570" max="2571" width="9.140625" style="55"/>
    <col min="2572" max="2572" width="11.28515625" style="55" bestFit="1" customWidth="1"/>
    <col min="2573" max="2576" width="9.140625" style="55"/>
    <col min="2577" max="2577" width="11.7109375" style="55" bestFit="1" customWidth="1"/>
    <col min="2578" max="2816" width="9.140625" style="55"/>
    <col min="2817" max="2817" width="6" style="55" customWidth="1"/>
    <col min="2818" max="2818" width="11.5703125" style="55" customWidth="1"/>
    <col min="2819" max="2819" width="42.7109375" style="55" customWidth="1"/>
    <col min="2820" max="2820" width="6.5703125" style="55" customWidth="1"/>
    <col min="2821" max="2821" width="12.28515625" style="55" customWidth="1"/>
    <col min="2822" max="2822" width="12" style="55" customWidth="1"/>
    <col min="2823" max="2823" width="11.7109375" style="55" customWidth="1"/>
    <col min="2824" max="2824" width="14.28515625" style="55" customWidth="1"/>
    <col min="2825" max="2825" width="12.28515625" style="55" customWidth="1"/>
    <col min="2826" max="2827" width="9.140625" style="55"/>
    <col min="2828" max="2828" width="11.28515625" style="55" bestFit="1" customWidth="1"/>
    <col min="2829" max="2832" width="9.140625" style="55"/>
    <col min="2833" max="2833" width="11.7109375" style="55" bestFit="1" customWidth="1"/>
    <col min="2834" max="3072" width="9.140625" style="55"/>
    <col min="3073" max="3073" width="6" style="55" customWidth="1"/>
    <col min="3074" max="3074" width="11.5703125" style="55" customWidth="1"/>
    <col min="3075" max="3075" width="42.7109375" style="55" customWidth="1"/>
    <col min="3076" max="3076" width="6.5703125" style="55" customWidth="1"/>
    <col min="3077" max="3077" width="12.28515625" style="55" customWidth="1"/>
    <col min="3078" max="3078" width="12" style="55" customWidth="1"/>
    <col min="3079" max="3079" width="11.7109375" style="55" customWidth="1"/>
    <col min="3080" max="3080" width="14.28515625" style="55" customWidth="1"/>
    <col min="3081" max="3081" width="12.28515625" style="55" customWidth="1"/>
    <col min="3082" max="3083" width="9.140625" style="55"/>
    <col min="3084" max="3084" width="11.28515625" style="55" bestFit="1" customWidth="1"/>
    <col min="3085" max="3088" width="9.140625" style="55"/>
    <col min="3089" max="3089" width="11.7109375" style="55" bestFit="1" customWidth="1"/>
    <col min="3090" max="3328" width="9.140625" style="55"/>
    <col min="3329" max="3329" width="6" style="55" customWidth="1"/>
    <col min="3330" max="3330" width="11.5703125" style="55" customWidth="1"/>
    <col min="3331" max="3331" width="42.7109375" style="55" customWidth="1"/>
    <col min="3332" max="3332" width="6.5703125" style="55" customWidth="1"/>
    <col min="3333" max="3333" width="12.28515625" style="55" customWidth="1"/>
    <col min="3334" max="3334" width="12" style="55" customWidth="1"/>
    <col min="3335" max="3335" width="11.7109375" style="55" customWidth="1"/>
    <col min="3336" max="3336" width="14.28515625" style="55" customWidth="1"/>
    <col min="3337" max="3337" width="12.28515625" style="55" customWidth="1"/>
    <col min="3338" max="3339" width="9.140625" style="55"/>
    <col min="3340" max="3340" width="11.28515625" style="55" bestFit="1" customWidth="1"/>
    <col min="3341" max="3344" width="9.140625" style="55"/>
    <col min="3345" max="3345" width="11.7109375" style="55" bestFit="1" customWidth="1"/>
    <col min="3346" max="3584" width="9.140625" style="55"/>
    <col min="3585" max="3585" width="6" style="55" customWidth="1"/>
    <col min="3586" max="3586" width="11.5703125" style="55" customWidth="1"/>
    <col min="3587" max="3587" width="42.7109375" style="55" customWidth="1"/>
    <col min="3588" max="3588" width="6.5703125" style="55" customWidth="1"/>
    <col min="3589" max="3589" width="12.28515625" style="55" customWidth="1"/>
    <col min="3590" max="3590" width="12" style="55" customWidth="1"/>
    <col min="3591" max="3591" width="11.7109375" style="55" customWidth="1"/>
    <col min="3592" max="3592" width="14.28515625" style="55" customWidth="1"/>
    <col min="3593" max="3593" width="12.28515625" style="55" customWidth="1"/>
    <col min="3594" max="3595" width="9.140625" style="55"/>
    <col min="3596" max="3596" width="11.28515625" style="55" bestFit="1" customWidth="1"/>
    <col min="3597" max="3600" width="9.140625" style="55"/>
    <col min="3601" max="3601" width="11.7109375" style="55" bestFit="1" customWidth="1"/>
    <col min="3602" max="3840" width="9.140625" style="55"/>
    <col min="3841" max="3841" width="6" style="55" customWidth="1"/>
    <col min="3842" max="3842" width="11.5703125" style="55" customWidth="1"/>
    <col min="3843" max="3843" width="42.7109375" style="55" customWidth="1"/>
    <col min="3844" max="3844" width="6.5703125" style="55" customWidth="1"/>
    <col min="3845" max="3845" width="12.28515625" style="55" customWidth="1"/>
    <col min="3846" max="3846" width="12" style="55" customWidth="1"/>
    <col min="3847" max="3847" width="11.7109375" style="55" customWidth="1"/>
    <col min="3848" max="3848" width="14.28515625" style="55" customWidth="1"/>
    <col min="3849" max="3849" width="12.28515625" style="55" customWidth="1"/>
    <col min="3850" max="3851" width="9.140625" style="55"/>
    <col min="3852" max="3852" width="11.28515625" style="55" bestFit="1" customWidth="1"/>
    <col min="3853" max="3856" width="9.140625" style="55"/>
    <col min="3857" max="3857" width="11.7109375" style="55" bestFit="1" customWidth="1"/>
    <col min="3858" max="4096" width="9.140625" style="55"/>
    <col min="4097" max="4097" width="6" style="55" customWidth="1"/>
    <col min="4098" max="4098" width="11.5703125" style="55" customWidth="1"/>
    <col min="4099" max="4099" width="42.7109375" style="55" customWidth="1"/>
    <col min="4100" max="4100" width="6.5703125" style="55" customWidth="1"/>
    <col min="4101" max="4101" width="12.28515625" style="55" customWidth="1"/>
    <col min="4102" max="4102" width="12" style="55" customWidth="1"/>
    <col min="4103" max="4103" width="11.7109375" style="55" customWidth="1"/>
    <col min="4104" max="4104" width="14.28515625" style="55" customWidth="1"/>
    <col min="4105" max="4105" width="12.28515625" style="55" customWidth="1"/>
    <col min="4106" max="4107" width="9.140625" style="55"/>
    <col min="4108" max="4108" width="11.28515625" style="55" bestFit="1" customWidth="1"/>
    <col min="4109" max="4112" width="9.140625" style="55"/>
    <col min="4113" max="4113" width="11.7109375" style="55" bestFit="1" customWidth="1"/>
    <col min="4114" max="4352" width="9.140625" style="55"/>
    <col min="4353" max="4353" width="6" style="55" customWidth="1"/>
    <col min="4354" max="4354" width="11.5703125" style="55" customWidth="1"/>
    <col min="4355" max="4355" width="42.7109375" style="55" customWidth="1"/>
    <col min="4356" max="4356" width="6.5703125" style="55" customWidth="1"/>
    <col min="4357" max="4357" width="12.28515625" style="55" customWidth="1"/>
    <col min="4358" max="4358" width="12" style="55" customWidth="1"/>
    <col min="4359" max="4359" width="11.7109375" style="55" customWidth="1"/>
    <col min="4360" max="4360" width="14.28515625" style="55" customWidth="1"/>
    <col min="4361" max="4361" width="12.28515625" style="55" customWidth="1"/>
    <col min="4362" max="4363" width="9.140625" style="55"/>
    <col min="4364" max="4364" width="11.28515625" style="55" bestFit="1" customWidth="1"/>
    <col min="4365" max="4368" width="9.140625" style="55"/>
    <col min="4369" max="4369" width="11.7109375" style="55" bestFit="1" customWidth="1"/>
    <col min="4370" max="4608" width="9.140625" style="55"/>
    <col min="4609" max="4609" width="6" style="55" customWidth="1"/>
    <col min="4610" max="4610" width="11.5703125" style="55" customWidth="1"/>
    <col min="4611" max="4611" width="42.7109375" style="55" customWidth="1"/>
    <col min="4612" max="4612" width="6.5703125" style="55" customWidth="1"/>
    <col min="4613" max="4613" width="12.28515625" style="55" customWidth="1"/>
    <col min="4614" max="4614" width="12" style="55" customWidth="1"/>
    <col min="4615" max="4615" width="11.7109375" style="55" customWidth="1"/>
    <col min="4616" max="4616" width="14.28515625" style="55" customWidth="1"/>
    <col min="4617" max="4617" width="12.28515625" style="55" customWidth="1"/>
    <col min="4618" max="4619" width="9.140625" style="55"/>
    <col min="4620" max="4620" width="11.28515625" style="55" bestFit="1" customWidth="1"/>
    <col min="4621" max="4624" width="9.140625" style="55"/>
    <col min="4625" max="4625" width="11.7109375" style="55" bestFit="1" customWidth="1"/>
    <col min="4626" max="4864" width="9.140625" style="55"/>
    <col min="4865" max="4865" width="6" style="55" customWidth="1"/>
    <col min="4866" max="4866" width="11.5703125" style="55" customWidth="1"/>
    <col min="4867" max="4867" width="42.7109375" style="55" customWidth="1"/>
    <col min="4868" max="4868" width="6.5703125" style="55" customWidth="1"/>
    <col min="4869" max="4869" width="12.28515625" style="55" customWidth="1"/>
    <col min="4870" max="4870" width="12" style="55" customWidth="1"/>
    <col min="4871" max="4871" width="11.7109375" style="55" customWidth="1"/>
    <col min="4872" max="4872" width="14.28515625" style="55" customWidth="1"/>
    <col min="4873" max="4873" width="12.28515625" style="55" customWidth="1"/>
    <col min="4874" max="4875" width="9.140625" style="55"/>
    <col min="4876" max="4876" width="11.28515625" style="55" bestFit="1" customWidth="1"/>
    <col min="4877" max="4880" width="9.140625" style="55"/>
    <col min="4881" max="4881" width="11.7109375" style="55" bestFit="1" customWidth="1"/>
    <col min="4882" max="5120" width="9.140625" style="55"/>
    <col min="5121" max="5121" width="6" style="55" customWidth="1"/>
    <col min="5122" max="5122" width="11.5703125" style="55" customWidth="1"/>
    <col min="5123" max="5123" width="42.7109375" style="55" customWidth="1"/>
    <col min="5124" max="5124" width="6.5703125" style="55" customWidth="1"/>
    <col min="5125" max="5125" width="12.28515625" style="55" customWidth="1"/>
    <col min="5126" max="5126" width="12" style="55" customWidth="1"/>
    <col min="5127" max="5127" width="11.7109375" style="55" customWidth="1"/>
    <col min="5128" max="5128" width="14.28515625" style="55" customWidth="1"/>
    <col min="5129" max="5129" width="12.28515625" style="55" customWidth="1"/>
    <col min="5130" max="5131" width="9.140625" style="55"/>
    <col min="5132" max="5132" width="11.28515625" style="55" bestFit="1" customWidth="1"/>
    <col min="5133" max="5136" width="9.140625" style="55"/>
    <col min="5137" max="5137" width="11.7109375" style="55" bestFit="1" customWidth="1"/>
    <col min="5138" max="5376" width="9.140625" style="55"/>
    <col min="5377" max="5377" width="6" style="55" customWidth="1"/>
    <col min="5378" max="5378" width="11.5703125" style="55" customWidth="1"/>
    <col min="5379" max="5379" width="42.7109375" style="55" customWidth="1"/>
    <col min="5380" max="5380" width="6.5703125" style="55" customWidth="1"/>
    <col min="5381" max="5381" width="12.28515625" style="55" customWidth="1"/>
    <col min="5382" max="5382" width="12" style="55" customWidth="1"/>
    <col min="5383" max="5383" width="11.7109375" style="55" customWidth="1"/>
    <col min="5384" max="5384" width="14.28515625" style="55" customWidth="1"/>
    <col min="5385" max="5385" width="12.28515625" style="55" customWidth="1"/>
    <col min="5386" max="5387" width="9.140625" style="55"/>
    <col min="5388" max="5388" width="11.28515625" style="55" bestFit="1" customWidth="1"/>
    <col min="5389" max="5392" width="9.140625" style="55"/>
    <col min="5393" max="5393" width="11.7109375" style="55" bestFit="1" customWidth="1"/>
    <col min="5394" max="5632" width="9.140625" style="55"/>
    <col min="5633" max="5633" width="6" style="55" customWidth="1"/>
    <col min="5634" max="5634" width="11.5703125" style="55" customWidth="1"/>
    <col min="5635" max="5635" width="42.7109375" style="55" customWidth="1"/>
    <col min="5636" max="5636" width="6.5703125" style="55" customWidth="1"/>
    <col min="5637" max="5637" width="12.28515625" style="55" customWidth="1"/>
    <col min="5638" max="5638" width="12" style="55" customWidth="1"/>
    <col min="5639" max="5639" width="11.7109375" style="55" customWidth="1"/>
    <col min="5640" max="5640" width="14.28515625" style="55" customWidth="1"/>
    <col min="5641" max="5641" width="12.28515625" style="55" customWidth="1"/>
    <col min="5642" max="5643" width="9.140625" style="55"/>
    <col min="5644" max="5644" width="11.28515625" style="55" bestFit="1" customWidth="1"/>
    <col min="5645" max="5648" width="9.140625" style="55"/>
    <col min="5649" max="5649" width="11.7109375" style="55" bestFit="1" customWidth="1"/>
    <col min="5650" max="5888" width="9.140625" style="55"/>
    <col min="5889" max="5889" width="6" style="55" customWidth="1"/>
    <col min="5890" max="5890" width="11.5703125" style="55" customWidth="1"/>
    <col min="5891" max="5891" width="42.7109375" style="55" customWidth="1"/>
    <col min="5892" max="5892" width="6.5703125" style="55" customWidth="1"/>
    <col min="5893" max="5893" width="12.28515625" style="55" customWidth="1"/>
    <col min="5894" max="5894" width="12" style="55" customWidth="1"/>
    <col min="5895" max="5895" width="11.7109375" style="55" customWidth="1"/>
    <col min="5896" max="5896" width="14.28515625" style="55" customWidth="1"/>
    <col min="5897" max="5897" width="12.28515625" style="55" customWidth="1"/>
    <col min="5898" max="5899" width="9.140625" style="55"/>
    <col min="5900" max="5900" width="11.28515625" style="55" bestFit="1" customWidth="1"/>
    <col min="5901" max="5904" width="9.140625" style="55"/>
    <col min="5905" max="5905" width="11.7109375" style="55" bestFit="1" customWidth="1"/>
    <col min="5906" max="6144" width="9.140625" style="55"/>
    <col min="6145" max="6145" width="6" style="55" customWidth="1"/>
    <col min="6146" max="6146" width="11.5703125" style="55" customWidth="1"/>
    <col min="6147" max="6147" width="42.7109375" style="55" customWidth="1"/>
    <col min="6148" max="6148" width="6.5703125" style="55" customWidth="1"/>
    <col min="6149" max="6149" width="12.28515625" style="55" customWidth="1"/>
    <col min="6150" max="6150" width="12" style="55" customWidth="1"/>
    <col min="6151" max="6151" width="11.7109375" style="55" customWidth="1"/>
    <col min="6152" max="6152" width="14.28515625" style="55" customWidth="1"/>
    <col min="6153" max="6153" width="12.28515625" style="55" customWidth="1"/>
    <col min="6154" max="6155" width="9.140625" style="55"/>
    <col min="6156" max="6156" width="11.28515625" style="55" bestFit="1" customWidth="1"/>
    <col min="6157" max="6160" width="9.140625" style="55"/>
    <col min="6161" max="6161" width="11.7109375" style="55" bestFit="1" customWidth="1"/>
    <col min="6162" max="6400" width="9.140625" style="55"/>
    <col min="6401" max="6401" width="6" style="55" customWidth="1"/>
    <col min="6402" max="6402" width="11.5703125" style="55" customWidth="1"/>
    <col min="6403" max="6403" width="42.7109375" style="55" customWidth="1"/>
    <col min="6404" max="6404" width="6.5703125" style="55" customWidth="1"/>
    <col min="6405" max="6405" width="12.28515625" style="55" customWidth="1"/>
    <col min="6406" max="6406" width="12" style="55" customWidth="1"/>
    <col min="6407" max="6407" width="11.7109375" style="55" customWidth="1"/>
    <col min="6408" max="6408" width="14.28515625" style="55" customWidth="1"/>
    <col min="6409" max="6409" width="12.28515625" style="55" customWidth="1"/>
    <col min="6410" max="6411" width="9.140625" style="55"/>
    <col min="6412" max="6412" width="11.28515625" style="55" bestFit="1" customWidth="1"/>
    <col min="6413" max="6416" width="9.140625" style="55"/>
    <col min="6417" max="6417" width="11.7109375" style="55" bestFit="1" customWidth="1"/>
    <col min="6418" max="6656" width="9.140625" style="55"/>
    <col min="6657" max="6657" width="6" style="55" customWidth="1"/>
    <col min="6658" max="6658" width="11.5703125" style="55" customWidth="1"/>
    <col min="6659" max="6659" width="42.7109375" style="55" customWidth="1"/>
    <col min="6660" max="6660" width="6.5703125" style="55" customWidth="1"/>
    <col min="6661" max="6661" width="12.28515625" style="55" customWidth="1"/>
    <col min="6662" max="6662" width="12" style="55" customWidth="1"/>
    <col min="6663" max="6663" width="11.7109375" style="55" customWidth="1"/>
    <col min="6664" max="6664" width="14.28515625" style="55" customWidth="1"/>
    <col min="6665" max="6665" width="12.28515625" style="55" customWidth="1"/>
    <col min="6666" max="6667" width="9.140625" style="55"/>
    <col min="6668" max="6668" width="11.28515625" style="55" bestFit="1" customWidth="1"/>
    <col min="6669" max="6672" width="9.140625" style="55"/>
    <col min="6673" max="6673" width="11.7109375" style="55" bestFit="1" customWidth="1"/>
    <col min="6674" max="6912" width="9.140625" style="55"/>
    <col min="6913" max="6913" width="6" style="55" customWidth="1"/>
    <col min="6914" max="6914" width="11.5703125" style="55" customWidth="1"/>
    <col min="6915" max="6915" width="42.7109375" style="55" customWidth="1"/>
    <col min="6916" max="6916" width="6.5703125" style="55" customWidth="1"/>
    <col min="6917" max="6917" width="12.28515625" style="55" customWidth="1"/>
    <col min="6918" max="6918" width="12" style="55" customWidth="1"/>
    <col min="6919" max="6919" width="11.7109375" style="55" customWidth="1"/>
    <col min="6920" max="6920" width="14.28515625" style="55" customWidth="1"/>
    <col min="6921" max="6921" width="12.28515625" style="55" customWidth="1"/>
    <col min="6922" max="6923" width="9.140625" style="55"/>
    <col min="6924" max="6924" width="11.28515625" style="55" bestFit="1" customWidth="1"/>
    <col min="6925" max="6928" width="9.140625" style="55"/>
    <col min="6929" max="6929" width="11.7109375" style="55" bestFit="1" customWidth="1"/>
    <col min="6930" max="7168" width="9.140625" style="55"/>
    <col min="7169" max="7169" width="6" style="55" customWidth="1"/>
    <col min="7170" max="7170" width="11.5703125" style="55" customWidth="1"/>
    <col min="7171" max="7171" width="42.7109375" style="55" customWidth="1"/>
    <col min="7172" max="7172" width="6.5703125" style="55" customWidth="1"/>
    <col min="7173" max="7173" width="12.28515625" style="55" customWidth="1"/>
    <col min="7174" max="7174" width="12" style="55" customWidth="1"/>
    <col min="7175" max="7175" width="11.7109375" style="55" customWidth="1"/>
    <col min="7176" max="7176" width="14.28515625" style="55" customWidth="1"/>
    <col min="7177" max="7177" width="12.28515625" style="55" customWidth="1"/>
    <col min="7178" max="7179" width="9.140625" style="55"/>
    <col min="7180" max="7180" width="11.28515625" style="55" bestFit="1" customWidth="1"/>
    <col min="7181" max="7184" width="9.140625" style="55"/>
    <col min="7185" max="7185" width="11.7109375" style="55" bestFit="1" customWidth="1"/>
    <col min="7186" max="7424" width="9.140625" style="55"/>
    <col min="7425" max="7425" width="6" style="55" customWidth="1"/>
    <col min="7426" max="7426" width="11.5703125" style="55" customWidth="1"/>
    <col min="7427" max="7427" width="42.7109375" style="55" customWidth="1"/>
    <col min="7428" max="7428" width="6.5703125" style="55" customWidth="1"/>
    <col min="7429" max="7429" width="12.28515625" style="55" customWidth="1"/>
    <col min="7430" max="7430" width="12" style="55" customWidth="1"/>
    <col min="7431" max="7431" width="11.7109375" style="55" customWidth="1"/>
    <col min="7432" max="7432" width="14.28515625" style="55" customWidth="1"/>
    <col min="7433" max="7433" width="12.28515625" style="55" customWidth="1"/>
    <col min="7434" max="7435" width="9.140625" style="55"/>
    <col min="7436" max="7436" width="11.28515625" style="55" bestFit="1" customWidth="1"/>
    <col min="7437" max="7440" width="9.140625" style="55"/>
    <col min="7441" max="7441" width="11.7109375" style="55" bestFit="1" customWidth="1"/>
    <col min="7442" max="7680" width="9.140625" style="55"/>
    <col min="7681" max="7681" width="6" style="55" customWidth="1"/>
    <col min="7682" max="7682" width="11.5703125" style="55" customWidth="1"/>
    <col min="7683" max="7683" width="42.7109375" style="55" customWidth="1"/>
    <col min="7684" max="7684" width="6.5703125" style="55" customWidth="1"/>
    <col min="7685" max="7685" width="12.28515625" style="55" customWidth="1"/>
    <col min="7686" max="7686" width="12" style="55" customWidth="1"/>
    <col min="7687" max="7687" width="11.7109375" style="55" customWidth="1"/>
    <col min="7688" max="7688" width="14.28515625" style="55" customWidth="1"/>
    <col min="7689" max="7689" width="12.28515625" style="55" customWidth="1"/>
    <col min="7690" max="7691" width="9.140625" style="55"/>
    <col min="7692" max="7692" width="11.28515625" style="55" bestFit="1" customWidth="1"/>
    <col min="7693" max="7696" width="9.140625" style="55"/>
    <col min="7697" max="7697" width="11.7109375" style="55" bestFit="1" customWidth="1"/>
    <col min="7698" max="7936" width="9.140625" style="55"/>
    <col min="7937" max="7937" width="6" style="55" customWidth="1"/>
    <col min="7938" max="7938" width="11.5703125" style="55" customWidth="1"/>
    <col min="7939" max="7939" width="42.7109375" style="55" customWidth="1"/>
    <col min="7940" max="7940" width="6.5703125" style="55" customWidth="1"/>
    <col min="7941" max="7941" width="12.28515625" style="55" customWidth="1"/>
    <col min="7942" max="7942" width="12" style="55" customWidth="1"/>
    <col min="7943" max="7943" width="11.7109375" style="55" customWidth="1"/>
    <col min="7944" max="7944" width="14.28515625" style="55" customWidth="1"/>
    <col min="7945" max="7945" width="12.28515625" style="55" customWidth="1"/>
    <col min="7946" max="7947" width="9.140625" style="55"/>
    <col min="7948" max="7948" width="11.28515625" style="55" bestFit="1" customWidth="1"/>
    <col min="7949" max="7952" width="9.140625" style="55"/>
    <col min="7953" max="7953" width="11.7109375" style="55" bestFit="1" customWidth="1"/>
    <col min="7954" max="8192" width="9.140625" style="55"/>
    <col min="8193" max="8193" width="6" style="55" customWidth="1"/>
    <col min="8194" max="8194" width="11.5703125" style="55" customWidth="1"/>
    <col min="8195" max="8195" width="42.7109375" style="55" customWidth="1"/>
    <col min="8196" max="8196" width="6.5703125" style="55" customWidth="1"/>
    <col min="8197" max="8197" width="12.28515625" style="55" customWidth="1"/>
    <col min="8198" max="8198" width="12" style="55" customWidth="1"/>
    <col min="8199" max="8199" width="11.7109375" style="55" customWidth="1"/>
    <col min="8200" max="8200" width="14.28515625" style="55" customWidth="1"/>
    <col min="8201" max="8201" width="12.28515625" style="55" customWidth="1"/>
    <col min="8202" max="8203" width="9.140625" style="55"/>
    <col min="8204" max="8204" width="11.28515625" style="55" bestFit="1" customWidth="1"/>
    <col min="8205" max="8208" width="9.140625" style="55"/>
    <col min="8209" max="8209" width="11.7109375" style="55" bestFit="1" customWidth="1"/>
    <col min="8210" max="8448" width="9.140625" style="55"/>
    <col min="8449" max="8449" width="6" style="55" customWidth="1"/>
    <col min="8450" max="8450" width="11.5703125" style="55" customWidth="1"/>
    <col min="8451" max="8451" width="42.7109375" style="55" customWidth="1"/>
    <col min="8452" max="8452" width="6.5703125" style="55" customWidth="1"/>
    <col min="8453" max="8453" width="12.28515625" style="55" customWidth="1"/>
    <col min="8454" max="8454" width="12" style="55" customWidth="1"/>
    <col min="8455" max="8455" width="11.7109375" style="55" customWidth="1"/>
    <col min="8456" max="8456" width="14.28515625" style="55" customWidth="1"/>
    <col min="8457" max="8457" width="12.28515625" style="55" customWidth="1"/>
    <col min="8458" max="8459" width="9.140625" style="55"/>
    <col min="8460" max="8460" width="11.28515625" style="55" bestFit="1" customWidth="1"/>
    <col min="8461" max="8464" width="9.140625" style="55"/>
    <col min="8465" max="8465" width="11.7109375" style="55" bestFit="1" customWidth="1"/>
    <col min="8466" max="8704" width="9.140625" style="55"/>
    <col min="8705" max="8705" width="6" style="55" customWidth="1"/>
    <col min="8706" max="8706" width="11.5703125" style="55" customWidth="1"/>
    <col min="8707" max="8707" width="42.7109375" style="55" customWidth="1"/>
    <col min="8708" max="8708" width="6.5703125" style="55" customWidth="1"/>
    <col min="8709" max="8709" width="12.28515625" style="55" customWidth="1"/>
    <col min="8710" max="8710" width="12" style="55" customWidth="1"/>
    <col min="8711" max="8711" width="11.7109375" style="55" customWidth="1"/>
    <col min="8712" max="8712" width="14.28515625" style="55" customWidth="1"/>
    <col min="8713" max="8713" width="12.28515625" style="55" customWidth="1"/>
    <col min="8714" max="8715" width="9.140625" style="55"/>
    <col min="8716" max="8716" width="11.28515625" style="55" bestFit="1" customWidth="1"/>
    <col min="8717" max="8720" width="9.140625" style="55"/>
    <col min="8721" max="8721" width="11.7109375" style="55" bestFit="1" customWidth="1"/>
    <col min="8722" max="8960" width="9.140625" style="55"/>
    <col min="8961" max="8961" width="6" style="55" customWidth="1"/>
    <col min="8962" max="8962" width="11.5703125" style="55" customWidth="1"/>
    <col min="8963" max="8963" width="42.7109375" style="55" customWidth="1"/>
    <col min="8964" max="8964" width="6.5703125" style="55" customWidth="1"/>
    <col min="8965" max="8965" width="12.28515625" style="55" customWidth="1"/>
    <col min="8966" max="8966" width="12" style="55" customWidth="1"/>
    <col min="8967" max="8967" width="11.7109375" style="55" customWidth="1"/>
    <col min="8968" max="8968" width="14.28515625" style="55" customWidth="1"/>
    <col min="8969" max="8969" width="12.28515625" style="55" customWidth="1"/>
    <col min="8970" max="8971" width="9.140625" style="55"/>
    <col min="8972" max="8972" width="11.28515625" style="55" bestFit="1" customWidth="1"/>
    <col min="8973" max="8976" width="9.140625" style="55"/>
    <col min="8977" max="8977" width="11.7109375" style="55" bestFit="1" customWidth="1"/>
    <col min="8978" max="9216" width="9.140625" style="55"/>
    <col min="9217" max="9217" width="6" style="55" customWidth="1"/>
    <col min="9218" max="9218" width="11.5703125" style="55" customWidth="1"/>
    <col min="9219" max="9219" width="42.7109375" style="55" customWidth="1"/>
    <col min="9220" max="9220" width="6.5703125" style="55" customWidth="1"/>
    <col min="9221" max="9221" width="12.28515625" style="55" customWidth="1"/>
    <col min="9222" max="9222" width="12" style="55" customWidth="1"/>
    <col min="9223" max="9223" width="11.7109375" style="55" customWidth="1"/>
    <col min="9224" max="9224" width="14.28515625" style="55" customWidth="1"/>
    <col min="9225" max="9225" width="12.28515625" style="55" customWidth="1"/>
    <col min="9226" max="9227" width="9.140625" style="55"/>
    <col min="9228" max="9228" width="11.28515625" style="55" bestFit="1" customWidth="1"/>
    <col min="9229" max="9232" width="9.140625" style="55"/>
    <col min="9233" max="9233" width="11.7109375" style="55" bestFit="1" customWidth="1"/>
    <col min="9234" max="9472" width="9.140625" style="55"/>
    <col min="9473" max="9473" width="6" style="55" customWidth="1"/>
    <col min="9474" max="9474" width="11.5703125" style="55" customWidth="1"/>
    <col min="9475" max="9475" width="42.7109375" style="55" customWidth="1"/>
    <col min="9476" max="9476" width="6.5703125" style="55" customWidth="1"/>
    <col min="9477" max="9477" width="12.28515625" style="55" customWidth="1"/>
    <col min="9478" max="9478" width="12" style="55" customWidth="1"/>
    <col min="9479" max="9479" width="11.7109375" style="55" customWidth="1"/>
    <col min="9480" max="9480" width="14.28515625" style="55" customWidth="1"/>
    <col min="9481" max="9481" width="12.28515625" style="55" customWidth="1"/>
    <col min="9482" max="9483" width="9.140625" style="55"/>
    <col min="9484" max="9484" width="11.28515625" style="55" bestFit="1" customWidth="1"/>
    <col min="9485" max="9488" width="9.140625" style="55"/>
    <col min="9489" max="9489" width="11.7109375" style="55" bestFit="1" customWidth="1"/>
    <col min="9490" max="9728" width="9.140625" style="55"/>
    <col min="9729" max="9729" width="6" style="55" customWidth="1"/>
    <col min="9730" max="9730" width="11.5703125" style="55" customWidth="1"/>
    <col min="9731" max="9731" width="42.7109375" style="55" customWidth="1"/>
    <col min="9732" max="9732" width="6.5703125" style="55" customWidth="1"/>
    <col min="9733" max="9733" width="12.28515625" style="55" customWidth="1"/>
    <col min="9734" max="9734" width="12" style="55" customWidth="1"/>
    <col min="9735" max="9735" width="11.7109375" style="55" customWidth="1"/>
    <col min="9736" max="9736" width="14.28515625" style="55" customWidth="1"/>
    <col min="9737" max="9737" width="12.28515625" style="55" customWidth="1"/>
    <col min="9738" max="9739" width="9.140625" style="55"/>
    <col min="9740" max="9740" width="11.28515625" style="55" bestFit="1" customWidth="1"/>
    <col min="9741" max="9744" width="9.140625" style="55"/>
    <col min="9745" max="9745" width="11.7109375" style="55" bestFit="1" customWidth="1"/>
    <col min="9746" max="9984" width="9.140625" style="55"/>
    <col min="9985" max="9985" width="6" style="55" customWidth="1"/>
    <col min="9986" max="9986" width="11.5703125" style="55" customWidth="1"/>
    <col min="9987" max="9987" width="42.7109375" style="55" customWidth="1"/>
    <col min="9988" max="9988" width="6.5703125" style="55" customWidth="1"/>
    <col min="9989" max="9989" width="12.28515625" style="55" customWidth="1"/>
    <col min="9990" max="9990" width="12" style="55" customWidth="1"/>
    <col min="9991" max="9991" width="11.7109375" style="55" customWidth="1"/>
    <col min="9992" max="9992" width="14.28515625" style="55" customWidth="1"/>
    <col min="9993" max="9993" width="12.28515625" style="55" customWidth="1"/>
    <col min="9994" max="9995" width="9.140625" style="55"/>
    <col min="9996" max="9996" width="11.28515625" style="55" bestFit="1" customWidth="1"/>
    <col min="9997" max="10000" width="9.140625" style="55"/>
    <col min="10001" max="10001" width="11.7109375" style="55" bestFit="1" customWidth="1"/>
    <col min="10002" max="10240" width="9.140625" style="55"/>
    <col min="10241" max="10241" width="6" style="55" customWidth="1"/>
    <col min="10242" max="10242" width="11.5703125" style="55" customWidth="1"/>
    <col min="10243" max="10243" width="42.7109375" style="55" customWidth="1"/>
    <col min="10244" max="10244" width="6.5703125" style="55" customWidth="1"/>
    <col min="10245" max="10245" width="12.28515625" style="55" customWidth="1"/>
    <col min="10246" max="10246" width="12" style="55" customWidth="1"/>
    <col min="10247" max="10247" width="11.7109375" style="55" customWidth="1"/>
    <col min="10248" max="10248" width="14.28515625" style="55" customWidth="1"/>
    <col min="10249" max="10249" width="12.28515625" style="55" customWidth="1"/>
    <col min="10250" max="10251" width="9.140625" style="55"/>
    <col min="10252" max="10252" width="11.28515625" style="55" bestFit="1" customWidth="1"/>
    <col min="10253" max="10256" width="9.140625" style="55"/>
    <col min="10257" max="10257" width="11.7109375" style="55" bestFit="1" customWidth="1"/>
    <col min="10258" max="10496" width="9.140625" style="55"/>
    <col min="10497" max="10497" width="6" style="55" customWidth="1"/>
    <col min="10498" max="10498" width="11.5703125" style="55" customWidth="1"/>
    <col min="10499" max="10499" width="42.7109375" style="55" customWidth="1"/>
    <col min="10500" max="10500" width="6.5703125" style="55" customWidth="1"/>
    <col min="10501" max="10501" width="12.28515625" style="55" customWidth="1"/>
    <col min="10502" max="10502" width="12" style="55" customWidth="1"/>
    <col min="10503" max="10503" width="11.7109375" style="55" customWidth="1"/>
    <col min="10504" max="10504" width="14.28515625" style="55" customWidth="1"/>
    <col min="10505" max="10505" width="12.28515625" style="55" customWidth="1"/>
    <col min="10506" max="10507" width="9.140625" style="55"/>
    <col min="10508" max="10508" width="11.28515625" style="55" bestFit="1" customWidth="1"/>
    <col min="10509" max="10512" width="9.140625" style="55"/>
    <col min="10513" max="10513" width="11.7109375" style="55" bestFit="1" customWidth="1"/>
    <col min="10514" max="10752" width="9.140625" style="55"/>
    <col min="10753" max="10753" width="6" style="55" customWidth="1"/>
    <col min="10754" max="10754" width="11.5703125" style="55" customWidth="1"/>
    <col min="10755" max="10755" width="42.7109375" style="55" customWidth="1"/>
    <col min="10756" max="10756" width="6.5703125" style="55" customWidth="1"/>
    <col min="10757" max="10757" width="12.28515625" style="55" customWidth="1"/>
    <col min="10758" max="10758" width="12" style="55" customWidth="1"/>
    <col min="10759" max="10759" width="11.7109375" style="55" customWidth="1"/>
    <col min="10760" max="10760" width="14.28515625" style="55" customWidth="1"/>
    <col min="10761" max="10761" width="12.28515625" style="55" customWidth="1"/>
    <col min="10762" max="10763" width="9.140625" style="55"/>
    <col min="10764" max="10764" width="11.28515625" style="55" bestFit="1" customWidth="1"/>
    <col min="10765" max="10768" width="9.140625" style="55"/>
    <col min="10769" max="10769" width="11.7109375" style="55" bestFit="1" customWidth="1"/>
    <col min="10770" max="11008" width="9.140625" style="55"/>
    <col min="11009" max="11009" width="6" style="55" customWidth="1"/>
    <col min="11010" max="11010" width="11.5703125" style="55" customWidth="1"/>
    <col min="11011" max="11011" width="42.7109375" style="55" customWidth="1"/>
    <col min="11012" max="11012" width="6.5703125" style="55" customWidth="1"/>
    <col min="11013" max="11013" width="12.28515625" style="55" customWidth="1"/>
    <col min="11014" max="11014" width="12" style="55" customWidth="1"/>
    <col min="11015" max="11015" width="11.7109375" style="55" customWidth="1"/>
    <col min="11016" max="11016" width="14.28515625" style="55" customWidth="1"/>
    <col min="11017" max="11017" width="12.28515625" style="55" customWidth="1"/>
    <col min="11018" max="11019" width="9.140625" style="55"/>
    <col min="11020" max="11020" width="11.28515625" style="55" bestFit="1" customWidth="1"/>
    <col min="11021" max="11024" width="9.140625" style="55"/>
    <col min="11025" max="11025" width="11.7109375" style="55" bestFit="1" customWidth="1"/>
    <col min="11026" max="11264" width="9.140625" style="55"/>
    <col min="11265" max="11265" width="6" style="55" customWidth="1"/>
    <col min="11266" max="11266" width="11.5703125" style="55" customWidth="1"/>
    <col min="11267" max="11267" width="42.7109375" style="55" customWidth="1"/>
    <col min="11268" max="11268" width="6.5703125" style="55" customWidth="1"/>
    <col min="11269" max="11269" width="12.28515625" style="55" customWidth="1"/>
    <col min="11270" max="11270" width="12" style="55" customWidth="1"/>
    <col min="11271" max="11271" width="11.7109375" style="55" customWidth="1"/>
    <col min="11272" max="11272" width="14.28515625" style="55" customWidth="1"/>
    <col min="11273" max="11273" width="12.28515625" style="55" customWidth="1"/>
    <col min="11274" max="11275" width="9.140625" style="55"/>
    <col min="11276" max="11276" width="11.28515625" style="55" bestFit="1" customWidth="1"/>
    <col min="11277" max="11280" width="9.140625" style="55"/>
    <col min="11281" max="11281" width="11.7109375" style="55" bestFit="1" customWidth="1"/>
    <col min="11282" max="11520" width="9.140625" style="55"/>
    <col min="11521" max="11521" width="6" style="55" customWidth="1"/>
    <col min="11522" max="11522" width="11.5703125" style="55" customWidth="1"/>
    <col min="11523" max="11523" width="42.7109375" style="55" customWidth="1"/>
    <col min="11524" max="11524" width="6.5703125" style="55" customWidth="1"/>
    <col min="11525" max="11525" width="12.28515625" style="55" customWidth="1"/>
    <col min="11526" max="11526" width="12" style="55" customWidth="1"/>
    <col min="11527" max="11527" width="11.7109375" style="55" customWidth="1"/>
    <col min="11528" max="11528" width="14.28515625" style="55" customWidth="1"/>
    <col min="11529" max="11529" width="12.28515625" style="55" customWidth="1"/>
    <col min="11530" max="11531" width="9.140625" style="55"/>
    <col min="11532" max="11532" width="11.28515625" style="55" bestFit="1" customWidth="1"/>
    <col min="11533" max="11536" width="9.140625" style="55"/>
    <col min="11537" max="11537" width="11.7109375" style="55" bestFit="1" customWidth="1"/>
    <col min="11538" max="11776" width="9.140625" style="55"/>
    <col min="11777" max="11777" width="6" style="55" customWidth="1"/>
    <col min="11778" max="11778" width="11.5703125" style="55" customWidth="1"/>
    <col min="11779" max="11779" width="42.7109375" style="55" customWidth="1"/>
    <col min="11780" max="11780" width="6.5703125" style="55" customWidth="1"/>
    <col min="11781" max="11781" width="12.28515625" style="55" customWidth="1"/>
    <col min="11782" max="11782" width="12" style="55" customWidth="1"/>
    <col min="11783" max="11783" width="11.7109375" style="55" customWidth="1"/>
    <col min="11784" max="11784" width="14.28515625" style="55" customWidth="1"/>
    <col min="11785" max="11785" width="12.28515625" style="55" customWidth="1"/>
    <col min="11786" max="11787" width="9.140625" style="55"/>
    <col min="11788" max="11788" width="11.28515625" style="55" bestFit="1" customWidth="1"/>
    <col min="11789" max="11792" width="9.140625" style="55"/>
    <col min="11793" max="11793" width="11.7109375" style="55" bestFit="1" customWidth="1"/>
    <col min="11794" max="12032" width="9.140625" style="55"/>
    <col min="12033" max="12033" width="6" style="55" customWidth="1"/>
    <col min="12034" max="12034" width="11.5703125" style="55" customWidth="1"/>
    <col min="12035" max="12035" width="42.7109375" style="55" customWidth="1"/>
    <col min="12036" max="12036" width="6.5703125" style="55" customWidth="1"/>
    <col min="12037" max="12037" width="12.28515625" style="55" customWidth="1"/>
    <col min="12038" max="12038" width="12" style="55" customWidth="1"/>
    <col min="12039" max="12039" width="11.7109375" style="55" customWidth="1"/>
    <col min="12040" max="12040" width="14.28515625" style="55" customWidth="1"/>
    <col min="12041" max="12041" width="12.28515625" style="55" customWidth="1"/>
    <col min="12042" max="12043" width="9.140625" style="55"/>
    <col min="12044" max="12044" width="11.28515625" style="55" bestFit="1" customWidth="1"/>
    <col min="12045" max="12048" width="9.140625" style="55"/>
    <col min="12049" max="12049" width="11.7109375" style="55" bestFit="1" customWidth="1"/>
    <col min="12050" max="12288" width="9.140625" style="55"/>
    <col min="12289" max="12289" width="6" style="55" customWidth="1"/>
    <col min="12290" max="12290" width="11.5703125" style="55" customWidth="1"/>
    <col min="12291" max="12291" width="42.7109375" style="55" customWidth="1"/>
    <col min="12292" max="12292" width="6.5703125" style="55" customWidth="1"/>
    <col min="12293" max="12293" width="12.28515625" style="55" customWidth="1"/>
    <col min="12294" max="12294" width="12" style="55" customWidth="1"/>
    <col min="12295" max="12295" width="11.7109375" style="55" customWidth="1"/>
    <col min="12296" max="12296" width="14.28515625" style="55" customWidth="1"/>
    <col min="12297" max="12297" width="12.28515625" style="55" customWidth="1"/>
    <col min="12298" max="12299" width="9.140625" style="55"/>
    <col min="12300" max="12300" width="11.28515625" style="55" bestFit="1" customWidth="1"/>
    <col min="12301" max="12304" width="9.140625" style="55"/>
    <col min="12305" max="12305" width="11.7109375" style="55" bestFit="1" customWidth="1"/>
    <col min="12306" max="12544" width="9.140625" style="55"/>
    <col min="12545" max="12545" width="6" style="55" customWidth="1"/>
    <col min="12546" max="12546" width="11.5703125" style="55" customWidth="1"/>
    <col min="12547" max="12547" width="42.7109375" style="55" customWidth="1"/>
    <col min="12548" max="12548" width="6.5703125" style="55" customWidth="1"/>
    <col min="12549" max="12549" width="12.28515625" style="55" customWidth="1"/>
    <col min="12550" max="12550" width="12" style="55" customWidth="1"/>
    <col min="12551" max="12551" width="11.7109375" style="55" customWidth="1"/>
    <col min="12552" max="12552" width="14.28515625" style="55" customWidth="1"/>
    <col min="12553" max="12553" width="12.28515625" style="55" customWidth="1"/>
    <col min="12554" max="12555" width="9.140625" style="55"/>
    <col min="12556" max="12556" width="11.28515625" style="55" bestFit="1" customWidth="1"/>
    <col min="12557" max="12560" width="9.140625" style="55"/>
    <col min="12561" max="12561" width="11.7109375" style="55" bestFit="1" customWidth="1"/>
    <col min="12562" max="12800" width="9.140625" style="55"/>
    <col min="12801" max="12801" width="6" style="55" customWidth="1"/>
    <col min="12802" max="12802" width="11.5703125" style="55" customWidth="1"/>
    <col min="12803" max="12803" width="42.7109375" style="55" customWidth="1"/>
    <col min="12804" max="12804" width="6.5703125" style="55" customWidth="1"/>
    <col min="12805" max="12805" width="12.28515625" style="55" customWidth="1"/>
    <col min="12806" max="12806" width="12" style="55" customWidth="1"/>
    <col min="12807" max="12807" width="11.7109375" style="55" customWidth="1"/>
    <col min="12808" max="12808" width="14.28515625" style="55" customWidth="1"/>
    <col min="12809" max="12809" width="12.28515625" style="55" customWidth="1"/>
    <col min="12810" max="12811" width="9.140625" style="55"/>
    <col min="12812" max="12812" width="11.28515625" style="55" bestFit="1" customWidth="1"/>
    <col min="12813" max="12816" width="9.140625" style="55"/>
    <col min="12817" max="12817" width="11.7109375" style="55" bestFit="1" customWidth="1"/>
    <col min="12818" max="13056" width="9.140625" style="55"/>
    <col min="13057" max="13057" width="6" style="55" customWidth="1"/>
    <col min="13058" max="13058" width="11.5703125" style="55" customWidth="1"/>
    <col min="13059" max="13059" width="42.7109375" style="55" customWidth="1"/>
    <col min="13060" max="13060" width="6.5703125" style="55" customWidth="1"/>
    <col min="13061" max="13061" width="12.28515625" style="55" customWidth="1"/>
    <col min="13062" max="13062" width="12" style="55" customWidth="1"/>
    <col min="13063" max="13063" width="11.7109375" style="55" customWidth="1"/>
    <col min="13064" max="13064" width="14.28515625" style="55" customWidth="1"/>
    <col min="13065" max="13065" width="12.28515625" style="55" customWidth="1"/>
    <col min="13066" max="13067" width="9.140625" style="55"/>
    <col min="13068" max="13068" width="11.28515625" style="55" bestFit="1" customWidth="1"/>
    <col min="13069" max="13072" width="9.140625" style="55"/>
    <col min="13073" max="13073" width="11.7109375" style="55" bestFit="1" customWidth="1"/>
    <col min="13074" max="13312" width="9.140625" style="55"/>
    <col min="13313" max="13313" width="6" style="55" customWidth="1"/>
    <col min="13314" max="13314" width="11.5703125" style="55" customWidth="1"/>
    <col min="13315" max="13315" width="42.7109375" style="55" customWidth="1"/>
    <col min="13316" max="13316" width="6.5703125" style="55" customWidth="1"/>
    <col min="13317" max="13317" width="12.28515625" style="55" customWidth="1"/>
    <col min="13318" max="13318" width="12" style="55" customWidth="1"/>
    <col min="13319" max="13319" width="11.7109375" style="55" customWidth="1"/>
    <col min="13320" max="13320" width="14.28515625" style="55" customWidth="1"/>
    <col min="13321" max="13321" width="12.28515625" style="55" customWidth="1"/>
    <col min="13322" max="13323" width="9.140625" style="55"/>
    <col min="13324" max="13324" width="11.28515625" style="55" bestFit="1" customWidth="1"/>
    <col min="13325" max="13328" width="9.140625" style="55"/>
    <col min="13329" max="13329" width="11.7109375" style="55" bestFit="1" customWidth="1"/>
    <col min="13330" max="13568" width="9.140625" style="55"/>
    <col min="13569" max="13569" width="6" style="55" customWidth="1"/>
    <col min="13570" max="13570" width="11.5703125" style="55" customWidth="1"/>
    <col min="13571" max="13571" width="42.7109375" style="55" customWidth="1"/>
    <col min="13572" max="13572" width="6.5703125" style="55" customWidth="1"/>
    <col min="13573" max="13573" width="12.28515625" style="55" customWidth="1"/>
    <col min="13574" max="13574" width="12" style="55" customWidth="1"/>
    <col min="13575" max="13575" width="11.7109375" style="55" customWidth="1"/>
    <col min="13576" max="13576" width="14.28515625" style="55" customWidth="1"/>
    <col min="13577" max="13577" width="12.28515625" style="55" customWidth="1"/>
    <col min="13578" max="13579" width="9.140625" style="55"/>
    <col min="13580" max="13580" width="11.28515625" style="55" bestFit="1" customWidth="1"/>
    <col min="13581" max="13584" width="9.140625" style="55"/>
    <col min="13585" max="13585" width="11.7109375" style="55" bestFit="1" customWidth="1"/>
    <col min="13586" max="13824" width="9.140625" style="55"/>
    <col min="13825" max="13825" width="6" style="55" customWidth="1"/>
    <col min="13826" max="13826" width="11.5703125" style="55" customWidth="1"/>
    <col min="13827" max="13827" width="42.7109375" style="55" customWidth="1"/>
    <col min="13828" max="13828" width="6.5703125" style="55" customWidth="1"/>
    <col min="13829" max="13829" width="12.28515625" style="55" customWidth="1"/>
    <col min="13830" max="13830" width="12" style="55" customWidth="1"/>
    <col min="13831" max="13831" width="11.7109375" style="55" customWidth="1"/>
    <col min="13832" max="13832" width="14.28515625" style="55" customWidth="1"/>
    <col min="13833" max="13833" width="12.28515625" style="55" customWidth="1"/>
    <col min="13834" max="13835" width="9.140625" style="55"/>
    <col min="13836" max="13836" width="11.28515625" style="55" bestFit="1" customWidth="1"/>
    <col min="13837" max="13840" width="9.140625" style="55"/>
    <col min="13841" max="13841" width="11.7109375" style="55" bestFit="1" customWidth="1"/>
    <col min="13842" max="14080" width="9.140625" style="55"/>
    <col min="14081" max="14081" width="6" style="55" customWidth="1"/>
    <col min="14082" max="14082" width="11.5703125" style="55" customWidth="1"/>
    <col min="14083" max="14083" width="42.7109375" style="55" customWidth="1"/>
    <col min="14084" max="14084" width="6.5703125" style="55" customWidth="1"/>
    <col min="14085" max="14085" width="12.28515625" style="55" customWidth="1"/>
    <col min="14086" max="14086" width="12" style="55" customWidth="1"/>
    <col min="14087" max="14087" width="11.7109375" style="55" customWidth="1"/>
    <col min="14088" max="14088" width="14.28515625" style="55" customWidth="1"/>
    <col min="14089" max="14089" width="12.28515625" style="55" customWidth="1"/>
    <col min="14090" max="14091" width="9.140625" style="55"/>
    <col min="14092" max="14092" width="11.28515625" style="55" bestFit="1" customWidth="1"/>
    <col min="14093" max="14096" width="9.140625" style="55"/>
    <col min="14097" max="14097" width="11.7109375" style="55" bestFit="1" customWidth="1"/>
    <col min="14098" max="14336" width="9.140625" style="55"/>
    <col min="14337" max="14337" width="6" style="55" customWidth="1"/>
    <col min="14338" max="14338" width="11.5703125" style="55" customWidth="1"/>
    <col min="14339" max="14339" width="42.7109375" style="55" customWidth="1"/>
    <col min="14340" max="14340" width="6.5703125" style="55" customWidth="1"/>
    <col min="14341" max="14341" width="12.28515625" style="55" customWidth="1"/>
    <col min="14342" max="14342" width="12" style="55" customWidth="1"/>
    <col min="14343" max="14343" width="11.7109375" style="55" customWidth="1"/>
    <col min="14344" max="14344" width="14.28515625" style="55" customWidth="1"/>
    <col min="14345" max="14345" width="12.28515625" style="55" customWidth="1"/>
    <col min="14346" max="14347" width="9.140625" style="55"/>
    <col min="14348" max="14348" width="11.28515625" style="55" bestFit="1" customWidth="1"/>
    <col min="14349" max="14352" width="9.140625" style="55"/>
    <col min="14353" max="14353" width="11.7109375" style="55" bestFit="1" customWidth="1"/>
    <col min="14354" max="14592" width="9.140625" style="55"/>
    <col min="14593" max="14593" width="6" style="55" customWidth="1"/>
    <col min="14594" max="14594" width="11.5703125" style="55" customWidth="1"/>
    <col min="14595" max="14595" width="42.7109375" style="55" customWidth="1"/>
    <col min="14596" max="14596" width="6.5703125" style="55" customWidth="1"/>
    <col min="14597" max="14597" width="12.28515625" style="55" customWidth="1"/>
    <col min="14598" max="14598" width="12" style="55" customWidth="1"/>
    <col min="14599" max="14599" width="11.7109375" style="55" customWidth="1"/>
    <col min="14600" max="14600" width="14.28515625" style="55" customWidth="1"/>
    <col min="14601" max="14601" width="12.28515625" style="55" customWidth="1"/>
    <col min="14602" max="14603" width="9.140625" style="55"/>
    <col min="14604" max="14604" width="11.28515625" style="55" bestFit="1" customWidth="1"/>
    <col min="14605" max="14608" width="9.140625" style="55"/>
    <col min="14609" max="14609" width="11.7109375" style="55" bestFit="1" customWidth="1"/>
    <col min="14610" max="14848" width="9.140625" style="55"/>
    <col min="14849" max="14849" width="6" style="55" customWidth="1"/>
    <col min="14850" max="14850" width="11.5703125" style="55" customWidth="1"/>
    <col min="14851" max="14851" width="42.7109375" style="55" customWidth="1"/>
    <col min="14852" max="14852" width="6.5703125" style="55" customWidth="1"/>
    <col min="14853" max="14853" width="12.28515625" style="55" customWidth="1"/>
    <col min="14854" max="14854" width="12" style="55" customWidth="1"/>
    <col min="14855" max="14855" width="11.7109375" style="55" customWidth="1"/>
    <col min="14856" max="14856" width="14.28515625" style="55" customWidth="1"/>
    <col min="14857" max="14857" width="12.28515625" style="55" customWidth="1"/>
    <col min="14858" max="14859" width="9.140625" style="55"/>
    <col min="14860" max="14860" width="11.28515625" style="55" bestFit="1" customWidth="1"/>
    <col min="14861" max="14864" width="9.140625" style="55"/>
    <col min="14865" max="14865" width="11.7109375" style="55" bestFit="1" customWidth="1"/>
    <col min="14866" max="15104" width="9.140625" style="55"/>
    <col min="15105" max="15105" width="6" style="55" customWidth="1"/>
    <col min="15106" max="15106" width="11.5703125" style="55" customWidth="1"/>
    <col min="15107" max="15107" width="42.7109375" style="55" customWidth="1"/>
    <col min="15108" max="15108" width="6.5703125" style="55" customWidth="1"/>
    <col min="15109" max="15109" width="12.28515625" style="55" customWidth="1"/>
    <col min="15110" max="15110" width="12" style="55" customWidth="1"/>
    <col min="15111" max="15111" width="11.7109375" style="55" customWidth="1"/>
    <col min="15112" max="15112" width="14.28515625" style="55" customWidth="1"/>
    <col min="15113" max="15113" width="12.28515625" style="55" customWidth="1"/>
    <col min="15114" max="15115" width="9.140625" style="55"/>
    <col min="15116" max="15116" width="11.28515625" style="55" bestFit="1" customWidth="1"/>
    <col min="15117" max="15120" width="9.140625" style="55"/>
    <col min="15121" max="15121" width="11.7109375" style="55" bestFit="1" customWidth="1"/>
    <col min="15122" max="15360" width="9.140625" style="55"/>
    <col min="15361" max="15361" width="6" style="55" customWidth="1"/>
    <col min="15362" max="15362" width="11.5703125" style="55" customWidth="1"/>
    <col min="15363" max="15363" width="42.7109375" style="55" customWidth="1"/>
    <col min="15364" max="15364" width="6.5703125" style="55" customWidth="1"/>
    <col min="15365" max="15365" width="12.28515625" style="55" customWidth="1"/>
    <col min="15366" max="15366" width="12" style="55" customWidth="1"/>
    <col min="15367" max="15367" width="11.7109375" style="55" customWidth="1"/>
    <col min="15368" max="15368" width="14.28515625" style="55" customWidth="1"/>
    <col min="15369" max="15369" width="12.28515625" style="55" customWidth="1"/>
    <col min="15370" max="15371" width="9.140625" style="55"/>
    <col min="15372" max="15372" width="11.28515625" style="55" bestFit="1" customWidth="1"/>
    <col min="15373" max="15376" width="9.140625" style="55"/>
    <col min="15377" max="15377" width="11.7109375" style="55" bestFit="1" customWidth="1"/>
    <col min="15378" max="15616" width="9.140625" style="55"/>
    <col min="15617" max="15617" width="6" style="55" customWidth="1"/>
    <col min="15618" max="15618" width="11.5703125" style="55" customWidth="1"/>
    <col min="15619" max="15619" width="42.7109375" style="55" customWidth="1"/>
    <col min="15620" max="15620" width="6.5703125" style="55" customWidth="1"/>
    <col min="15621" max="15621" width="12.28515625" style="55" customWidth="1"/>
    <col min="15622" max="15622" width="12" style="55" customWidth="1"/>
    <col min="15623" max="15623" width="11.7109375" style="55" customWidth="1"/>
    <col min="15624" max="15624" width="14.28515625" style="55" customWidth="1"/>
    <col min="15625" max="15625" width="12.28515625" style="55" customWidth="1"/>
    <col min="15626" max="15627" width="9.140625" style="55"/>
    <col min="15628" max="15628" width="11.28515625" style="55" bestFit="1" customWidth="1"/>
    <col min="15629" max="15632" width="9.140625" style="55"/>
    <col min="15633" max="15633" width="11.7109375" style="55" bestFit="1" customWidth="1"/>
    <col min="15634" max="15872" width="9.140625" style="55"/>
    <col min="15873" max="15873" width="6" style="55" customWidth="1"/>
    <col min="15874" max="15874" width="11.5703125" style="55" customWidth="1"/>
    <col min="15875" max="15875" width="42.7109375" style="55" customWidth="1"/>
    <col min="15876" max="15876" width="6.5703125" style="55" customWidth="1"/>
    <col min="15877" max="15877" width="12.28515625" style="55" customWidth="1"/>
    <col min="15878" max="15878" width="12" style="55" customWidth="1"/>
    <col min="15879" max="15879" width="11.7109375" style="55" customWidth="1"/>
    <col min="15880" max="15880" width="14.28515625" style="55" customWidth="1"/>
    <col min="15881" max="15881" width="12.28515625" style="55" customWidth="1"/>
    <col min="15882" max="15883" width="9.140625" style="55"/>
    <col min="15884" max="15884" width="11.28515625" style="55" bestFit="1" customWidth="1"/>
    <col min="15885" max="15888" width="9.140625" style="55"/>
    <col min="15889" max="15889" width="11.7109375" style="55" bestFit="1" customWidth="1"/>
    <col min="15890" max="16128" width="9.140625" style="55"/>
    <col min="16129" max="16129" width="6" style="55" customWidth="1"/>
    <col min="16130" max="16130" width="11.5703125" style="55" customWidth="1"/>
    <col min="16131" max="16131" width="42.7109375" style="55" customWidth="1"/>
    <col min="16132" max="16132" width="6.5703125" style="55" customWidth="1"/>
    <col min="16133" max="16133" width="12.28515625" style="55" customWidth="1"/>
    <col min="16134" max="16134" width="12" style="55" customWidth="1"/>
    <col min="16135" max="16135" width="11.7109375" style="55" customWidth="1"/>
    <col min="16136" max="16136" width="14.28515625" style="55" customWidth="1"/>
    <col min="16137" max="16137" width="12.28515625" style="55" customWidth="1"/>
    <col min="16138" max="16139" width="9.140625" style="55"/>
    <col min="16140" max="16140" width="11.28515625" style="55" bestFit="1" customWidth="1"/>
    <col min="16141" max="16144" width="9.140625" style="55"/>
    <col min="16145" max="16145" width="11.7109375" style="55" bestFit="1" customWidth="1"/>
    <col min="16146" max="16384" width="9.140625" style="55"/>
  </cols>
  <sheetData>
    <row r="1" spans="1:10" x14ac:dyDescent="0.25">
      <c r="A1" s="55" t="s">
        <v>0</v>
      </c>
    </row>
    <row r="2" spans="1:10" x14ac:dyDescent="0.25">
      <c r="A2" s="55" t="s">
        <v>1</v>
      </c>
    </row>
    <row r="4" spans="1:10" x14ac:dyDescent="0.25">
      <c r="A4" s="272" t="str">
        <f>+'[1]Hộp CB nền bạc'!A4:I5</f>
        <v>THẺ KHO NGUYÊN VẬT LIỆU</v>
      </c>
      <c r="B4" s="272"/>
      <c r="C4" s="272"/>
      <c r="D4" s="272"/>
      <c r="E4" s="272"/>
      <c r="F4" s="272"/>
      <c r="G4" s="272"/>
      <c r="H4" s="272"/>
      <c r="I4" s="272"/>
    </row>
    <row r="5" spans="1:10" x14ac:dyDescent="0.25">
      <c r="A5" s="272"/>
      <c r="B5" s="272"/>
      <c r="C5" s="272"/>
      <c r="D5" s="272"/>
      <c r="E5" s="272"/>
      <c r="F5" s="272"/>
      <c r="G5" s="272"/>
      <c r="H5" s="272"/>
      <c r="I5" s="272"/>
    </row>
    <row r="7" spans="1:10" ht="31.5" x14ac:dyDescent="0.25">
      <c r="A7" s="56" t="s">
        <v>3</v>
      </c>
      <c r="B7" s="56" t="s">
        <v>4</v>
      </c>
      <c r="C7" s="4" t="s">
        <v>31</v>
      </c>
      <c r="D7" s="56" t="s">
        <v>5</v>
      </c>
      <c r="E7" s="57" t="s">
        <v>6</v>
      </c>
      <c r="F7" s="57" t="s">
        <v>7</v>
      </c>
      <c r="G7" s="57" t="s">
        <v>8</v>
      </c>
      <c r="H7" s="57" t="s">
        <v>9</v>
      </c>
      <c r="I7" s="56" t="s">
        <v>10</v>
      </c>
    </row>
    <row r="8" spans="1:10" x14ac:dyDescent="0.25">
      <c r="A8" s="58"/>
      <c r="B8" s="59"/>
      <c r="C8" s="60" t="s">
        <v>14</v>
      </c>
      <c r="D8" s="61"/>
      <c r="E8" s="62"/>
      <c r="F8" s="63"/>
      <c r="G8" s="64"/>
      <c r="H8" s="58"/>
      <c r="I8" s="58"/>
    </row>
    <row r="9" spans="1:10" x14ac:dyDescent="0.25">
      <c r="A9" s="65">
        <v>1</v>
      </c>
      <c r="B9" s="59">
        <v>45709</v>
      </c>
      <c r="C9" s="66" t="s">
        <v>56</v>
      </c>
      <c r="D9" s="61" t="s">
        <v>55</v>
      </c>
      <c r="E9" s="67">
        <v>290</v>
      </c>
      <c r="F9" s="68"/>
      <c r="G9" s="69">
        <f>+G8+E9-F9</f>
        <v>290</v>
      </c>
      <c r="H9" s="69"/>
      <c r="I9" s="58"/>
    </row>
    <row r="10" spans="1:10" x14ac:dyDescent="0.25">
      <c r="A10" s="65">
        <f t="shared" ref="A10:A145" si="0">+A9+1</f>
        <v>2</v>
      </c>
      <c r="B10" s="59">
        <v>45710</v>
      </c>
      <c r="C10" s="66"/>
      <c r="D10" s="61"/>
      <c r="E10" s="67"/>
      <c r="F10" s="68">
        <v>162</v>
      </c>
      <c r="G10" s="69">
        <f>+G9+E10-F10</f>
        <v>128</v>
      </c>
      <c r="H10" s="69"/>
      <c r="I10" s="58"/>
    </row>
    <row r="11" spans="1:10" x14ac:dyDescent="0.25">
      <c r="A11" s="65">
        <f t="shared" si="0"/>
        <v>3</v>
      </c>
      <c r="B11" s="59">
        <v>45712</v>
      </c>
      <c r="C11" s="66"/>
      <c r="D11" s="61"/>
      <c r="E11" s="67"/>
      <c r="F11" s="68">
        <v>60</v>
      </c>
      <c r="G11" s="69">
        <f>+G10+E11-F11</f>
        <v>68</v>
      </c>
      <c r="H11" s="69"/>
      <c r="I11" s="58"/>
    </row>
    <row r="12" spans="1:10" x14ac:dyDescent="0.25">
      <c r="A12" s="65">
        <f t="shared" si="0"/>
        <v>4</v>
      </c>
      <c r="B12" s="59">
        <v>45712</v>
      </c>
      <c r="C12" s="66"/>
      <c r="D12" s="61"/>
      <c r="E12" s="67">
        <v>120</v>
      </c>
      <c r="F12" s="68"/>
      <c r="G12" s="69">
        <f>+G11+E12-F12</f>
        <v>188</v>
      </c>
      <c r="H12" s="69"/>
      <c r="I12" s="58"/>
    </row>
    <row r="13" spans="1:10" x14ac:dyDescent="0.25">
      <c r="A13" s="65">
        <f t="shared" si="0"/>
        <v>5</v>
      </c>
      <c r="B13" s="59">
        <v>45713</v>
      </c>
      <c r="C13" s="66"/>
      <c r="D13" s="61"/>
      <c r="E13" s="67"/>
      <c r="F13" s="68">
        <v>118</v>
      </c>
      <c r="G13" s="69">
        <f t="shared" ref="G13:G145" si="1">+G12+E13-F13</f>
        <v>70</v>
      </c>
      <c r="H13" s="69"/>
      <c r="I13" s="58"/>
    </row>
    <row r="14" spans="1:10" x14ac:dyDescent="0.25">
      <c r="A14" s="65">
        <f t="shared" si="0"/>
        <v>6</v>
      </c>
      <c r="B14" s="70">
        <v>45715</v>
      </c>
      <c r="C14" s="66"/>
      <c r="D14" s="61"/>
      <c r="E14" s="67">
        <v>500</v>
      </c>
      <c r="F14" s="68">
        <v>35</v>
      </c>
      <c r="G14" s="69">
        <f t="shared" si="1"/>
        <v>535</v>
      </c>
      <c r="H14" s="71"/>
      <c r="I14" s="58"/>
      <c r="J14" s="72"/>
    </row>
    <row r="15" spans="1:10" x14ac:dyDescent="0.25">
      <c r="A15" s="65">
        <f t="shared" si="0"/>
        <v>7</v>
      </c>
      <c r="B15" s="70">
        <v>45716</v>
      </c>
      <c r="C15" s="66"/>
      <c r="D15" s="61"/>
      <c r="E15" s="67"/>
      <c r="F15" s="68">
        <v>48</v>
      </c>
      <c r="G15" s="69">
        <f t="shared" si="1"/>
        <v>487</v>
      </c>
      <c r="H15" s="69"/>
      <c r="I15" s="58"/>
    </row>
    <row r="16" spans="1:10" s="98" customFormat="1" x14ac:dyDescent="0.25">
      <c r="A16" s="191">
        <f t="shared" si="0"/>
        <v>8</v>
      </c>
      <c r="B16" s="97">
        <v>45717</v>
      </c>
      <c r="C16" s="153"/>
      <c r="D16" s="154"/>
      <c r="E16" s="165"/>
      <c r="F16" s="166">
        <v>86</v>
      </c>
      <c r="G16" s="167">
        <f t="shared" si="1"/>
        <v>401</v>
      </c>
      <c r="H16" s="167"/>
      <c r="I16" s="96"/>
    </row>
    <row r="17" spans="1:12" s="98" customFormat="1" x14ac:dyDescent="0.25">
      <c r="A17" s="191">
        <f t="shared" si="0"/>
        <v>9</v>
      </c>
      <c r="B17" s="97">
        <v>45719</v>
      </c>
      <c r="C17" s="153"/>
      <c r="D17" s="154"/>
      <c r="E17" s="165"/>
      <c r="F17" s="166">
        <v>127</v>
      </c>
      <c r="G17" s="167">
        <f t="shared" si="1"/>
        <v>274</v>
      </c>
      <c r="H17" s="167"/>
      <c r="I17" s="96"/>
    </row>
    <row r="18" spans="1:12" s="98" customFormat="1" x14ac:dyDescent="0.25">
      <c r="A18" s="191">
        <f t="shared" si="0"/>
        <v>10</v>
      </c>
      <c r="B18" s="97">
        <v>45720</v>
      </c>
      <c r="C18" s="153"/>
      <c r="D18" s="154"/>
      <c r="E18" s="165"/>
      <c r="F18" s="166">
        <v>97</v>
      </c>
      <c r="G18" s="167">
        <f t="shared" si="1"/>
        <v>177</v>
      </c>
      <c r="H18" s="167"/>
      <c r="I18" s="96"/>
    </row>
    <row r="19" spans="1:12" s="98" customFormat="1" x14ac:dyDescent="0.25">
      <c r="A19" s="191">
        <f t="shared" si="0"/>
        <v>11</v>
      </c>
      <c r="B19" s="97">
        <v>45723</v>
      </c>
      <c r="C19" s="153"/>
      <c r="D19" s="154"/>
      <c r="E19" s="192"/>
      <c r="F19" s="166">
        <v>87</v>
      </c>
      <c r="G19" s="167">
        <f t="shared" si="1"/>
        <v>90</v>
      </c>
      <c r="H19" s="167"/>
      <c r="I19" s="96"/>
    </row>
    <row r="20" spans="1:12" s="98" customFormat="1" x14ac:dyDescent="0.25">
      <c r="A20" s="191">
        <f t="shared" si="0"/>
        <v>12</v>
      </c>
      <c r="B20" s="97">
        <v>45724</v>
      </c>
      <c r="C20" s="153"/>
      <c r="D20" s="154"/>
      <c r="E20" s="193"/>
      <c r="F20" s="193">
        <v>14</v>
      </c>
      <c r="G20" s="167">
        <f t="shared" si="1"/>
        <v>76</v>
      </c>
      <c r="H20" s="194"/>
      <c r="I20" s="195"/>
    </row>
    <row r="21" spans="1:12" s="98" customFormat="1" x14ac:dyDescent="0.25">
      <c r="A21" s="191">
        <f t="shared" si="0"/>
        <v>13</v>
      </c>
      <c r="B21" s="97">
        <v>45728</v>
      </c>
      <c r="C21" s="153" t="s">
        <v>92</v>
      </c>
      <c r="D21" s="154"/>
      <c r="E21" s="122">
        <v>9</v>
      </c>
      <c r="F21" s="196">
        <v>85</v>
      </c>
      <c r="G21" s="167">
        <f t="shared" si="1"/>
        <v>0</v>
      </c>
      <c r="H21" s="96"/>
      <c r="I21" s="96"/>
    </row>
    <row r="22" spans="1:12" s="98" customFormat="1" x14ac:dyDescent="0.25">
      <c r="A22" s="191">
        <f t="shared" si="0"/>
        <v>14</v>
      </c>
      <c r="B22" s="97">
        <v>45729</v>
      </c>
      <c r="C22" s="153"/>
      <c r="D22" s="154"/>
      <c r="E22" s="165">
        <v>240</v>
      </c>
      <c r="F22" s="166">
        <f>95+ (58-14)</f>
        <v>139</v>
      </c>
      <c r="G22" s="167">
        <f t="shared" si="1"/>
        <v>101</v>
      </c>
      <c r="H22" s="96"/>
      <c r="I22" s="96"/>
    </row>
    <row r="23" spans="1:12" s="98" customFormat="1" x14ac:dyDescent="0.25">
      <c r="A23" s="191">
        <f t="shared" si="0"/>
        <v>15</v>
      </c>
      <c r="B23" s="97">
        <v>45730</v>
      </c>
      <c r="C23" s="153"/>
      <c r="D23" s="154"/>
      <c r="E23" s="165">
        <v>500</v>
      </c>
      <c r="F23" s="166">
        <v>172</v>
      </c>
      <c r="G23" s="167">
        <f t="shared" si="1"/>
        <v>429</v>
      </c>
      <c r="H23" s="197"/>
      <c r="I23" s="96"/>
    </row>
    <row r="24" spans="1:12" s="98" customFormat="1" x14ac:dyDescent="0.25">
      <c r="A24" s="191">
        <f t="shared" si="0"/>
        <v>16</v>
      </c>
      <c r="B24" s="97">
        <v>45735</v>
      </c>
      <c r="C24" s="153"/>
      <c r="D24" s="154"/>
      <c r="E24" s="165"/>
      <c r="F24" s="166">
        <v>69</v>
      </c>
      <c r="G24" s="167">
        <f t="shared" si="1"/>
        <v>360</v>
      </c>
      <c r="H24" s="197"/>
      <c r="I24" s="96"/>
    </row>
    <row r="25" spans="1:12" s="98" customFormat="1" x14ac:dyDescent="0.25">
      <c r="A25" s="191">
        <f t="shared" si="0"/>
        <v>17</v>
      </c>
      <c r="B25" s="97">
        <v>45736</v>
      </c>
      <c r="C25" s="153"/>
      <c r="D25" s="154"/>
      <c r="E25" s="165">
        <v>1000</v>
      </c>
      <c r="F25" s="166">
        <v>110</v>
      </c>
      <c r="G25" s="167">
        <f t="shared" si="1"/>
        <v>1250</v>
      </c>
      <c r="H25" s="197"/>
      <c r="I25" s="96"/>
    </row>
    <row r="26" spans="1:12" s="98" customFormat="1" x14ac:dyDescent="0.25">
      <c r="A26" s="191">
        <f t="shared" si="0"/>
        <v>18</v>
      </c>
      <c r="B26" s="97">
        <v>45737</v>
      </c>
      <c r="C26" s="153"/>
      <c r="D26" s="154"/>
      <c r="E26" s="165"/>
      <c r="F26" s="166">
        <v>140</v>
      </c>
      <c r="G26" s="167">
        <f t="shared" si="1"/>
        <v>1110</v>
      </c>
      <c r="H26" s="197"/>
      <c r="I26" s="96"/>
    </row>
    <row r="27" spans="1:12" s="98" customFormat="1" x14ac:dyDescent="0.25">
      <c r="A27" s="191">
        <f t="shared" si="0"/>
        <v>19</v>
      </c>
      <c r="B27" s="97">
        <v>45738</v>
      </c>
      <c r="C27" s="153"/>
      <c r="D27" s="154"/>
      <c r="E27" s="165"/>
      <c r="F27" s="166">
        <v>73</v>
      </c>
      <c r="G27" s="167">
        <f t="shared" si="1"/>
        <v>1037</v>
      </c>
      <c r="H27" s="197"/>
      <c r="I27" s="96"/>
    </row>
    <row r="28" spans="1:12" s="98" customFormat="1" x14ac:dyDescent="0.25">
      <c r="A28" s="191">
        <f t="shared" si="0"/>
        <v>20</v>
      </c>
      <c r="B28" s="97">
        <v>45739</v>
      </c>
      <c r="C28" s="153"/>
      <c r="D28" s="154"/>
      <c r="E28" s="165"/>
      <c r="F28" s="166">
        <v>39</v>
      </c>
      <c r="G28" s="167">
        <f t="shared" si="1"/>
        <v>998</v>
      </c>
      <c r="H28" s="197"/>
      <c r="I28" s="96"/>
    </row>
    <row r="29" spans="1:12" s="98" customFormat="1" x14ac:dyDescent="0.25">
      <c r="A29" s="191"/>
      <c r="B29" s="97">
        <v>45740</v>
      </c>
      <c r="C29" s="153"/>
      <c r="D29" s="154"/>
      <c r="E29" s="165"/>
      <c r="F29" s="166">
        <v>138</v>
      </c>
      <c r="G29" s="167">
        <f t="shared" si="1"/>
        <v>860</v>
      </c>
      <c r="H29" s="197"/>
      <c r="I29" s="96"/>
    </row>
    <row r="30" spans="1:12" s="98" customFormat="1" x14ac:dyDescent="0.25">
      <c r="A30" s="191">
        <f>+A28+1</f>
        <v>21</v>
      </c>
      <c r="B30" s="97">
        <v>45743</v>
      </c>
      <c r="C30" s="153"/>
      <c r="D30" s="154"/>
      <c r="E30" s="165"/>
      <c r="F30" s="166">
        <v>71</v>
      </c>
      <c r="G30" s="167">
        <f t="shared" si="1"/>
        <v>789</v>
      </c>
      <c r="H30" s="197"/>
      <c r="I30" s="96"/>
    </row>
    <row r="31" spans="1:12" s="98" customFormat="1" x14ac:dyDescent="0.25">
      <c r="A31" s="191">
        <f t="shared" si="0"/>
        <v>22</v>
      </c>
      <c r="B31" s="97">
        <v>45744</v>
      </c>
      <c r="C31" s="153"/>
      <c r="D31" s="154"/>
      <c r="E31" s="165"/>
      <c r="F31" s="166">
        <v>111</v>
      </c>
      <c r="G31" s="167">
        <f t="shared" si="1"/>
        <v>678</v>
      </c>
      <c r="H31" s="197"/>
      <c r="I31" s="96"/>
    </row>
    <row r="32" spans="1:12" s="98" customFormat="1" x14ac:dyDescent="0.25">
      <c r="A32" s="191">
        <f t="shared" si="0"/>
        <v>23</v>
      </c>
      <c r="B32" s="97">
        <v>45746</v>
      </c>
      <c r="C32" s="153"/>
      <c r="D32" s="154"/>
      <c r="E32" s="165"/>
      <c r="F32" s="166">
        <v>143</v>
      </c>
      <c r="G32" s="167">
        <f t="shared" si="1"/>
        <v>535</v>
      </c>
      <c r="H32" s="197"/>
      <c r="I32" s="96"/>
      <c r="L32" s="98">
        <f>4*20+31</f>
        <v>111</v>
      </c>
    </row>
    <row r="33" spans="1:16" s="98" customFormat="1" x14ac:dyDescent="0.25">
      <c r="A33" s="191">
        <f t="shared" si="0"/>
        <v>24</v>
      </c>
      <c r="B33" s="97">
        <v>45747</v>
      </c>
      <c r="C33" s="153"/>
      <c r="D33" s="154"/>
      <c r="E33" s="165"/>
      <c r="F33" s="166">
        <v>169</v>
      </c>
      <c r="G33" s="167">
        <f t="shared" si="1"/>
        <v>366</v>
      </c>
      <c r="H33" s="197"/>
      <c r="I33" s="96"/>
      <c r="L33" s="98">
        <f>+L32+M32</f>
        <v>111</v>
      </c>
    </row>
    <row r="34" spans="1:16" x14ac:dyDescent="0.25">
      <c r="A34" s="65">
        <f t="shared" si="0"/>
        <v>25</v>
      </c>
      <c r="B34" s="59">
        <v>45748</v>
      </c>
      <c r="C34" s="66"/>
      <c r="D34" s="61"/>
      <c r="E34" s="67"/>
      <c r="F34" s="68">
        <v>143</v>
      </c>
      <c r="G34" s="69">
        <f t="shared" si="1"/>
        <v>223</v>
      </c>
      <c r="H34" s="74"/>
      <c r="I34" s="58"/>
    </row>
    <row r="35" spans="1:16" x14ac:dyDescent="0.25">
      <c r="A35" s="65">
        <f t="shared" si="0"/>
        <v>26</v>
      </c>
      <c r="B35" s="59">
        <v>45750</v>
      </c>
      <c r="C35" s="66"/>
      <c r="D35" s="61"/>
      <c r="E35" s="67"/>
      <c r="F35" s="68">
        <v>152</v>
      </c>
      <c r="G35" s="69">
        <f t="shared" si="1"/>
        <v>71</v>
      </c>
      <c r="H35" s="74"/>
      <c r="I35" s="58"/>
      <c r="P35" s="55">
        <f>158-15</f>
        <v>143</v>
      </c>
    </row>
    <row r="36" spans="1:16" x14ac:dyDescent="0.25">
      <c r="A36" s="65">
        <f t="shared" si="0"/>
        <v>27</v>
      </c>
      <c r="B36" s="59">
        <v>45759</v>
      </c>
      <c r="C36" s="66"/>
      <c r="D36" s="61"/>
      <c r="E36" s="67">
        <v>510</v>
      </c>
      <c r="F36" s="68"/>
      <c r="G36" s="69">
        <f t="shared" si="1"/>
        <v>581</v>
      </c>
      <c r="H36" s="74"/>
      <c r="I36" s="58"/>
    </row>
    <row r="37" spans="1:16" x14ac:dyDescent="0.25">
      <c r="A37" s="65"/>
      <c r="B37" s="59">
        <v>45762</v>
      </c>
      <c r="C37" s="66"/>
      <c r="D37" s="61"/>
      <c r="E37" s="67"/>
      <c r="F37" s="68">
        <v>19</v>
      </c>
      <c r="G37" s="69">
        <f t="shared" si="1"/>
        <v>562</v>
      </c>
      <c r="H37" s="74"/>
      <c r="I37" s="58"/>
    </row>
    <row r="38" spans="1:16" x14ac:dyDescent="0.25">
      <c r="A38" s="65">
        <f>+A36+1</f>
        <v>28</v>
      </c>
      <c r="B38" s="59">
        <v>45764</v>
      </c>
      <c r="C38" s="66"/>
      <c r="D38" s="61"/>
      <c r="E38" s="67"/>
      <c r="F38" s="68">
        <v>140</v>
      </c>
      <c r="G38" s="69">
        <f t="shared" si="1"/>
        <v>422</v>
      </c>
      <c r="H38" s="74"/>
      <c r="I38" s="58"/>
    </row>
    <row r="39" spans="1:16" x14ac:dyDescent="0.25">
      <c r="A39" s="65">
        <f t="shared" si="0"/>
        <v>29</v>
      </c>
      <c r="B39" s="59">
        <v>45765</v>
      </c>
      <c r="C39" s="66"/>
      <c r="D39" s="61"/>
      <c r="E39" s="67"/>
      <c r="F39" s="68">
        <v>139</v>
      </c>
      <c r="G39" s="69">
        <f t="shared" si="1"/>
        <v>283</v>
      </c>
      <c r="H39" s="74"/>
      <c r="I39" s="58"/>
    </row>
    <row r="40" spans="1:16" x14ac:dyDescent="0.25">
      <c r="A40" s="65">
        <f t="shared" si="0"/>
        <v>30</v>
      </c>
      <c r="B40" s="59">
        <v>45766</v>
      </c>
      <c r="C40" s="66"/>
      <c r="D40" s="61"/>
      <c r="E40" s="67"/>
      <c r="F40" s="68">
        <v>154</v>
      </c>
      <c r="G40" s="69">
        <f t="shared" si="1"/>
        <v>129</v>
      </c>
      <c r="H40" s="74"/>
      <c r="I40" s="58"/>
    </row>
    <row r="41" spans="1:16" x14ac:dyDescent="0.25">
      <c r="A41" s="65">
        <f t="shared" si="0"/>
        <v>31</v>
      </c>
      <c r="B41" s="59">
        <v>45768</v>
      </c>
      <c r="C41" s="66"/>
      <c r="D41" s="61"/>
      <c r="E41" s="67"/>
      <c r="F41" s="68">
        <v>40</v>
      </c>
      <c r="G41" s="69">
        <f t="shared" si="1"/>
        <v>89</v>
      </c>
      <c r="H41" s="74"/>
      <c r="I41" s="58"/>
    </row>
    <row r="42" spans="1:16" x14ac:dyDescent="0.25">
      <c r="A42" s="65">
        <f t="shared" si="0"/>
        <v>32</v>
      </c>
      <c r="B42" s="59">
        <v>45769</v>
      </c>
      <c r="C42" s="66"/>
      <c r="D42" s="61"/>
      <c r="E42" s="67">
        <v>100</v>
      </c>
      <c r="F42" s="68">
        <v>16</v>
      </c>
      <c r="G42" s="69">
        <f t="shared" si="1"/>
        <v>173</v>
      </c>
      <c r="H42" s="74"/>
      <c r="I42" s="58"/>
    </row>
    <row r="43" spans="1:16" x14ac:dyDescent="0.25">
      <c r="A43" s="65">
        <f t="shared" si="0"/>
        <v>33</v>
      </c>
      <c r="B43" s="59">
        <v>45770</v>
      </c>
      <c r="C43" s="66"/>
      <c r="D43" s="61"/>
      <c r="E43" s="67">
        <v>100</v>
      </c>
      <c r="F43" s="68">
        <v>72</v>
      </c>
      <c r="G43" s="69">
        <f t="shared" si="1"/>
        <v>201</v>
      </c>
      <c r="H43" s="74"/>
      <c r="I43" s="58"/>
    </row>
    <row r="44" spans="1:16" x14ac:dyDescent="0.25">
      <c r="A44" s="65">
        <f t="shared" si="0"/>
        <v>34</v>
      </c>
      <c r="B44" s="59">
        <v>45771</v>
      </c>
      <c r="C44" s="66"/>
      <c r="D44" s="61"/>
      <c r="E44" s="67">
        <v>100</v>
      </c>
      <c r="F44" s="68">
        <v>43</v>
      </c>
      <c r="G44" s="69">
        <f t="shared" si="1"/>
        <v>258</v>
      </c>
      <c r="H44" s="74"/>
      <c r="I44" s="58"/>
    </row>
    <row r="45" spans="1:16" x14ac:dyDescent="0.25">
      <c r="A45" s="65">
        <f t="shared" si="0"/>
        <v>35</v>
      </c>
      <c r="B45" s="59">
        <v>45772</v>
      </c>
      <c r="C45" s="66"/>
      <c r="D45" s="61"/>
      <c r="E45" s="67"/>
      <c r="F45" s="68">
        <v>102</v>
      </c>
      <c r="G45" s="69">
        <f t="shared" si="1"/>
        <v>156</v>
      </c>
      <c r="H45" s="74"/>
      <c r="I45" s="58"/>
    </row>
    <row r="46" spans="1:16" x14ac:dyDescent="0.25">
      <c r="A46" s="65">
        <f t="shared" si="0"/>
        <v>36</v>
      </c>
      <c r="B46" s="59">
        <v>45786</v>
      </c>
      <c r="C46" s="66"/>
      <c r="D46" s="61"/>
      <c r="E46" s="67">
        <v>200</v>
      </c>
      <c r="F46" s="68">
        <v>88</v>
      </c>
      <c r="G46" s="69">
        <f t="shared" si="1"/>
        <v>268</v>
      </c>
      <c r="H46" s="74"/>
      <c r="I46" s="58"/>
    </row>
    <row r="47" spans="1:16" x14ac:dyDescent="0.25">
      <c r="A47" s="65">
        <f t="shared" si="0"/>
        <v>37</v>
      </c>
      <c r="B47" s="59">
        <v>45787</v>
      </c>
      <c r="C47" s="66"/>
      <c r="D47" s="61"/>
      <c r="E47" s="67"/>
      <c r="F47" s="68">
        <v>65</v>
      </c>
      <c r="G47" s="69">
        <f t="shared" si="1"/>
        <v>203</v>
      </c>
      <c r="H47" s="74"/>
      <c r="I47" s="58"/>
    </row>
    <row r="48" spans="1:16" x14ac:dyDescent="0.25">
      <c r="A48" s="65">
        <f t="shared" si="0"/>
        <v>38</v>
      </c>
      <c r="B48" s="97"/>
      <c r="C48" s="153" t="s">
        <v>101</v>
      </c>
      <c r="D48" s="154"/>
      <c r="E48" s="165">
        <v>105</v>
      </c>
      <c r="F48" s="166"/>
      <c r="G48" s="69">
        <f t="shared" si="1"/>
        <v>308</v>
      </c>
      <c r="H48" s="197"/>
      <c r="I48" s="96"/>
    </row>
    <row r="49" spans="1:16" s="218" customFormat="1" x14ac:dyDescent="0.25">
      <c r="A49" s="65">
        <f t="shared" si="0"/>
        <v>39</v>
      </c>
      <c r="B49" s="211">
        <v>45789</v>
      </c>
      <c r="C49" s="212"/>
      <c r="D49" s="213"/>
      <c r="E49" s="214"/>
      <c r="F49" s="215">
        <v>73</v>
      </c>
      <c r="G49" s="69">
        <f t="shared" si="1"/>
        <v>235</v>
      </c>
      <c r="H49" s="216"/>
      <c r="I49" s="217"/>
    </row>
    <row r="50" spans="1:16" x14ac:dyDescent="0.25">
      <c r="A50" s="65">
        <f t="shared" si="0"/>
        <v>40</v>
      </c>
      <c r="B50" s="59">
        <v>45790</v>
      </c>
      <c r="C50" s="66"/>
      <c r="D50" s="61"/>
      <c r="E50" s="67">
        <v>700</v>
      </c>
      <c r="F50" s="68"/>
      <c r="G50" s="69">
        <f t="shared" si="1"/>
        <v>935</v>
      </c>
      <c r="H50" s="74"/>
      <c r="I50" s="58"/>
    </row>
    <row r="51" spans="1:16" x14ac:dyDescent="0.25">
      <c r="A51" s="65">
        <f t="shared" si="0"/>
        <v>41</v>
      </c>
      <c r="B51" s="59">
        <v>45792</v>
      </c>
      <c r="C51" s="66"/>
      <c r="D51" s="61"/>
      <c r="E51" s="67"/>
      <c r="F51" s="68">
        <v>50</v>
      </c>
      <c r="G51" s="69">
        <f t="shared" si="1"/>
        <v>885</v>
      </c>
      <c r="H51" s="74"/>
      <c r="I51" s="58"/>
    </row>
    <row r="52" spans="1:16" x14ac:dyDescent="0.25">
      <c r="A52" s="65">
        <f t="shared" si="0"/>
        <v>42</v>
      </c>
      <c r="B52" s="59">
        <v>45793</v>
      </c>
      <c r="C52" s="66"/>
      <c r="D52" s="61"/>
      <c r="E52" s="67">
        <v>420</v>
      </c>
      <c r="F52" s="68">
        <v>91</v>
      </c>
      <c r="G52" s="69">
        <f t="shared" si="1"/>
        <v>1214</v>
      </c>
      <c r="H52" s="74"/>
      <c r="I52" s="58"/>
    </row>
    <row r="53" spans="1:16" x14ac:dyDescent="0.25">
      <c r="A53" s="65">
        <f t="shared" si="0"/>
        <v>43</v>
      </c>
      <c r="B53" s="59">
        <v>45794</v>
      </c>
      <c r="C53" s="66"/>
      <c r="D53" s="61"/>
      <c r="E53" s="67"/>
      <c r="F53" s="68">
        <v>9</v>
      </c>
      <c r="G53" s="69">
        <f t="shared" si="1"/>
        <v>1205</v>
      </c>
      <c r="H53" s="74"/>
      <c r="I53" s="58"/>
    </row>
    <row r="54" spans="1:16" s="98" customFormat="1" x14ac:dyDescent="0.25">
      <c r="A54" s="191">
        <f t="shared" si="0"/>
        <v>44</v>
      </c>
      <c r="B54" s="97">
        <v>45797</v>
      </c>
      <c r="C54" s="153"/>
      <c r="D54" s="154"/>
      <c r="E54" s="165"/>
      <c r="F54" s="166">
        <v>100</v>
      </c>
      <c r="G54" s="167">
        <f t="shared" si="1"/>
        <v>1105</v>
      </c>
      <c r="H54" s="197"/>
      <c r="I54" s="96"/>
    </row>
    <row r="55" spans="1:16" x14ac:dyDescent="0.25">
      <c r="A55" s="65">
        <f t="shared" si="0"/>
        <v>45</v>
      </c>
      <c r="B55" s="59">
        <v>45798</v>
      </c>
      <c r="C55" s="66"/>
      <c r="D55" s="61"/>
      <c r="E55" s="67"/>
      <c r="F55" s="68">
        <v>140</v>
      </c>
      <c r="G55" s="69">
        <f t="shared" si="1"/>
        <v>965</v>
      </c>
      <c r="H55" s="74"/>
      <c r="I55" s="58"/>
    </row>
    <row r="56" spans="1:16" x14ac:dyDescent="0.25">
      <c r="A56" s="65">
        <f t="shared" si="0"/>
        <v>46</v>
      </c>
      <c r="B56" s="59">
        <v>45799</v>
      </c>
      <c r="C56" s="66"/>
      <c r="D56" s="61"/>
      <c r="E56" s="67"/>
      <c r="F56" s="68">
        <v>111</v>
      </c>
      <c r="G56" s="69">
        <f t="shared" si="1"/>
        <v>854</v>
      </c>
      <c r="H56" s="74"/>
      <c r="I56" s="58"/>
    </row>
    <row r="57" spans="1:16" x14ac:dyDescent="0.25">
      <c r="A57" s="65">
        <f t="shared" si="0"/>
        <v>47</v>
      </c>
      <c r="B57" s="59">
        <v>45800</v>
      </c>
      <c r="C57" s="66"/>
      <c r="D57" s="61"/>
      <c r="E57" s="67"/>
      <c r="F57" s="68">
        <v>36</v>
      </c>
      <c r="G57" s="69">
        <f t="shared" si="1"/>
        <v>818</v>
      </c>
      <c r="H57" s="74"/>
      <c r="I57" s="58"/>
    </row>
    <row r="58" spans="1:16" x14ac:dyDescent="0.25">
      <c r="A58" s="65">
        <f t="shared" si="0"/>
        <v>48</v>
      </c>
      <c r="B58" s="59">
        <v>45801</v>
      </c>
      <c r="C58" s="66"/>
      <c r="D58" s="61"/>
      <c r="E58" s="67"/>
      <c r="F58" s="68">
        <v>136</v>
      </c>
      <c r="G58" s="69">
        <f t="shared" si="1"/>
        <v>682</v>
      </c>
      <c r="H58" s="74"/>
      <c r="I58" s="58"/>
    </row>
    <row r="59" spans="1:16" x14ac:dyDescent="0.25">
      <c r="A59" s="65">
        <f t="shared" si="0"/>
        <v>49</v>
      </c>
      <c r="B59" s="59">
        <v>45803</v>
      </c>
      <c r="C59" s="66"/>
      <c r="D59" s="61"/>
      <c r="E59" s="67"/>
      <c r="F59" s="68">
        <v>121</v>
      </c>
      <c r="G59" s="69">
        <f t="shared" si="1"/>
        <v>561</v>
      </c>
      <c r="H59" s="74"/>
      <c r="I59" s="58"/>
    </row>
    <row r="60" spans="1:16" x14ac:dyDescent="0.25">
      <c r="A60" s="65">
        <f t="shared" si="0"/>
        <v>50</v>
      </c>
      <c r="B60" s="59">
        <v>45804</v>
      </c>
      <c r="C60" s="66"/>
      <c r="D60" s="61"/>
      <c r="E60" s="67">
        <v>997</v>
      </c>
      <c r="F60" s="68">
        <v>143</v>
      </c>
      <c r="G60" s="69">
        <f t="shared" si="1"/>
        <v>1415</v>
      </c>
      <c r="H60" s="74"/>
      <c r="I60" s="58"/>
      <c r="N60" s="55">
        <f>105+9</f>
        <v>114</v>
      </c>
    </row>
    <row r="61" spans="1:16" x14ac:dyDescent="0.25">
      <c r="A61" s="65">
        <f t="shared" si="0"/>
        <v>51</v>
      </c>
      <c r="B61" s="59">
        <v>45805</v>
      </c>
      <c r="C61" s="66"/>
      <c r="D61" s="61"/>
      <c r="E61" s="67">
        <v>1000</v>
      </c>
      <c r="F61" s="68">
        <v>143</v>
      </c>
      <c r="G61" s="69">
        <f t="shared" si="1"/>
        <v>2272</v>
      </c>
      <c r="H61" s="74"/>
      <c r="I61" s="58"/>
    </row>
    <row r="62" spans="1:16" x14ac:dyDescent="0.25">
      <c r="A62" s="65">
        <f t="shared" si="0"/>
        <v>52</v>
      </c>
      <c r="B62" s="59">
        <v>45806</v>
      </c>
      <c r="C62" s="66"/>
      <c r="D62" s="61"/>
      <c r="E62" s="67"/>
      <c r="F62" s="68">
        <v>132</v>
      </c>
      <c r="G62" s="69">
        <f t="shared" si="1"/>
        <v>2140</v>
      </c>
      <c r="H62" s="74"/>
      <c r="I62" s="58"/>
      <c r="K62" s="55">
        <f>2030-114</f>
        <v>1916</v>
      </c>
      <c r="O62" s="55">
        <f>6891-105</f>
        <v>6786</v>
      </c>
      <c r="P62" s="55">
        <f>+O62-9</f>
        <v>6777</v>
      </c>
    </row>
    <row r="63" spans="1:16" x14ac:dyDescent="0.25">
      <c r="A63" s="65">
        <f t="shared" si="0"/>
        <v>53</v>
      </c>
      <c r="B63" s="59">
        <v>45807</v>
      </c>
      <c r="C63" s="66"/>
      <c r="D63" s="61"/>
      <c r="E63" s="67"/>
      <c r="F63" s="68">
        <v>110</v>
      </c>
      <c r="G63" s="69">
        <f t="shared" si="1"/>
        <v>2030</v>
      </c>
      <c r="H63" s="74"/>
      <c r="I63" s="58"/>
    </row>
    <row r="64" spans="1:16" s="98" customFormat="1" x14ac:dyDescent="0.25">
      <c r="A64" s="191">
        <f t="shared" si="0"/>
        <v>54</v>
      </c>
      <c r="B64" s="97">
        <v>45811</v>
      </c>
      <c r="C64" s="153"/>
      <c r="D64" s="154"/>
      <c r="E64" s="165"/>
      <c r="F64" s="166">
        <v>139</v>
      </c>
      <c r="G64" s="167">
        <f t="shared" si="1"/>
        <v>1891</v>
      </c>
      <c r="H64" s="197"/>
      <c r="I64" s="96"/>
    </row>
    <row r="65" spans="1:9" x14ac:dyDescent="0.25">
      <c r="A65" s="65">
        <f t="shared" si="0"/>
        <v>55</v>
      </c>
      <c r="B65" s="59">
        <v>45812</v>
      </c>
      <c r="C65" s="66"/>
      <c r="D65" s="61"/>
      <c r="E65" s="67"/>
      <c r="F65" s="68">
        <v>36</v>
      </c>
      <c r="G65" s="69">
        <f t="shared" si="1"/>
        <v>1855</v>
      </c>
      <c r="H65" s="74"/>
      <c r="I65" s="58"/>
    </row>
    <row r="66" spans="1:9" x14ac:dyDescent="0.25">
      <c r="A66" s="65">
        <f t="shared" si="0"/>
        <v>56</v>
      </c>
      <c r="B66" s="59">
        <v>45813</v>
      </c>
      <c r="C66" s="66"/>
      <c r="D66" s="61"/>
      <c r="E66" s="67"/>
      <c r="F66" s="68">
        <v>187</v>
      </c>
      <c r="G66" s="69">
        <f t="shared" si="1"/>
        <v>1668</v>
      </c>
      <c r="H66" s="74"/>
      <c r="I66" s="58"/>
    </row>
    <row r="67" spans="1:9" x14ac:dyDescent="0.25">
      <c r="A67" s="65">
        <f t="shared" si="0"/>
        <v>57</v>
      </c>
      <c r="B67" s="59">
        <v>45814</v>
      </c>
      <c r="C67" s="66"/>
      <c r="D67" s="61"/>
      <c r="E67" s="67"/>
      <c r="F67" s="68">
        <v>138</v>
      </c>
      <c r="G67" s="69">
        <f t="shared" si="1"/>
        <v>1530</v>
      </c>
      <c r="H67" s="74"/>
      <c r="I67" s="58"/>
    </row>
    <row r="68" spans="1:9" x14ac:dyDescent="0.25">
      <c r="A68" s="65">
        <f t="shared" si="0"/>
        <v>58</v>
      </c>
      <c r="B68" s="59">
        <v>45815</v>
      </c>
      <c r="C68" s="66"/>
      <c r="D68" s="61"/>
      <c r="E68" s="67"/>
      <c r="F68" s="68">
        <v>104</v>
      </c>
      <c r="G68" s="69">
        <f t="shared" si="1"/>
        <v>1426</v>
      </c>
      <c r="H68" s="74"/>
      <c r="I68" s="58"/>
    </row>
    <row r="69" spans="1:9" x14ac:dyDescent="0.25">
      <c r="A69" s="65">
        <f t="shared" si="0"/>
        <v>59</v>
      </c>
      <c r="B69" s="59">
        <v>45817</v>
      </c>
      <c r="C69" s="66"/>
      <c r="D69" s="61"/>
      <c r="E69" s="67"/>
      <c r="F69" s="68">
        <v>23</v>
      </c>
      <c r="G69" s="69">
        <f t="shared" si="1"/>
        <v>1403</v>
      </c>
      <c r="H69" s="74"/>
      <c r="I69" s="58"/>
    </row>
    <row r="70" spans="1:9" x14ac:dyDescent="0.25">
      <c r="A70" s="65">
        <f t="shared" si="0"/>
        <v>60</v>
      </c>
      <c r="B70" s="59">
        <v>45819</v>
      </c>
      <c r="C70" s="66"/>
      <c r="D70" s="61"/>
      <c r="E70" s="67"/>
      <c r="F70" s="68">
        <v>105</v>
      </c>
      <c r="G70" s="69">
        <f t="shared" si="1"/>
        <v>1298</v>
      </c>
      <c r="H70" s="74"/>
      <c r="I70" s="58"/>
    </row>
    <row r="71" spans="1:9" x14ac:dyDescent="0.25">
      <c r="A71" s="65">
        <f t="shared" si="0"/>
        <v>61</v>
      </c>
      <c r="B71" s="59">
        <v>45820</v>
      </c>
      <c r="C71" s="66"/>
      <c r="D71" s="61"/>
      <c r="E71" s="67"/>
      <c r="F71" s="68">
        <v>175</v>
      </c>
      <c r="G71" s="69">
        <f t="shared" si="1"/>
        <v>1123</v>
      </c>
      <c r="H71" s="74"/>
      <c r="I71" s="58"/>
    </row>
    <row r="72" spans="1:9" x14ac:dyDescent="0.25">
      <c r="A72" s="65">
        <f t="shared" si="0"/>
        <v>62</v>
      </c>
      <c r="B72" s="59">
        <v>45822</v>
      </c>
      <c r="C72" s="66"/>
      <c r="D72" s="61"/>
      <c r="E72" s="67"/>
      <c r="F72" s="68">
        <v>143</v>
      </c>
      <c r="G72" s="69">
        <f t="shared" si="1"/>
        <v>980</v>
      </c>
      <c r="H72" s="74"/>
      <c r="I72" s="58"/>
    </row>
    <row r="73" spans="1:9" x14ac:dyDescent="0.25">
      <c r="A73" s="65">
        <f t="shared" si="0"/>
        <v>63</v>
      </c>
      <c r="B73" s="59">
        <v>45825</v>
      </c>
      <c r="C73" s="66"/>
      <c r="D73" s="61"/>
      <c r="E73" s="67"/>
      <c r="F73" s="68">
        <v>96</v>
      </c>
      <c r="G73" s="69">
        <f t="shared" si="1"/>
        <v>884</v>
      </c>
      <c r="H73" s="74"/>
      <c r="I73" s="58" t="s">
        <v>116</v>
      </c>
    </row>
    <row r="74" spans="1:9" x14ac:dyDescent="0.25">
      <c r="A74" s="65">
        <f t="shared" si="0"/>
        <v>64</v>
      </c>
      <c r="B74" s="59">
        <v>45826</v>
      </c>
      <c r="C74" s="66"/>
      <c r="D74" s="61"/>
      <c r="E74" s="67"/>
      <c r="F74" s="68">
        <f>179-12</f>
        <v>167</v>
      </c>
      <c r="G74" s="69">
        <f t="shared" si="1"/>
        <v>717</v>
      </c>
      <c r="H74" s="74"/>
      <c r="I74" s="58"/>
    </row>
    <row r="75" spans="1:9" x14ac:dyDescent="0.25">
      <c r="A75" s="65">
        <f t="shared" si="0"/>
        <v>65</v>
      </c>
      <c r="B75" s="59">
        <v>45827</v>
      </c>
      <c r="C75" s="66"/>
      <c r="D75" s="61"/>
      <c r="E75" s="67"/>
      <c r="F75" s="68">
        <v>148</v>
      </c>
      <c r="G75" s="69">
        <f t="shared" si="1"/>
        <v>569</v>
      </c>
      <c r="H75" s="74"/>
      <c r="I75" s="58"/>
    </row>
    <row r="76" spans="1:9" x14ac:dyDescent="0.25">
      <c r="A76" s="65">
        <f t="shared" si="0"/>
        <v>66</v>
      </c>
      <c r="B76" s="59">
        <v>45828</v>
      </c>
      <c r="C76" s="66"/>
      <c r="D76" s="61"/>
      <c r="E76" s="67"/>
      <c r="F76" s="68">
        <f>69+73</f>
        <v>142</v>
      </c>
      <c r="G76" s="69">
        <f t="shared" si="1"/>
        <v>427</v>
      </c>
      <c r="H76" s="74"/>
      <c r="I76" s="58"/>
    </row>
    <row r="77" spans="1:9" x14ac:dyDescent="0.25">
      <c r="A77" s="65">
        <f t="shared" si="0"/>
        <v>67</v>
      </c>
      <c r="B77" s="59">
        <v>45829</v>
      </c>
      <c r="C77" s="66"/>
      <c r="D77" s="61"/>
      <c r="E77" s="67"/>
      <c r="F77" s="68">
        <v>108</v>
      </c>
      <c r="G77" s="69">
        <f t="shared" si="1"/>
        <v>319</v>
      </c>
      <c r="H77" s="74"/>
      <c r="I77" s="58"/>
    </row>
    <row r="78" spans="1:9" x14ac:dyDescent="0.25">
      <c r="A78" s="65">
        <f t="shared" si="0"/>
        <v>68</v>
      </c>
      <c r="B78" s="59">
        <v>45833</v>
      </c>
      <c r="C78" s="66"/>
      <c r="D78" s="61"/>
      <c r="E78" s="67"/>
      <c r="F78" s="68">
        <v>146</v>
      </c>
      <c r="G78" s="69">
        <f t="shared" si="1"/>
        <v>173</v>
      </c>
      <c r="H78" s="74"/>
      <c r="I78" s="58"/>
    </row>
    <row r="79" spans="1:9" x14ac:dyDescent="0.25">
      <c r="A79" s="65">
        <f t="shared" si="0"/>
        <v>69</v>
      </c>
      <c r="B79" s="59">
        <v>45834</v>
      </c>
      <c r="C79" s="66"/>
      <c r="D79" s="61"/>
      <c r="E79" s="67">
        <v>790</v>
      </c>
      <c r="F79" s="68"/>
      <c r="G79" s="69">
        <f t="shared" si="1"/>
        <v>963</v>
      </c>
      <c r="H79" s="74"/>
      <c r="I79" s="58"/>
    </row>
    <row r="80" spans="1:9" x14ac:dyDescent="0.25">
      <c r="A80" s="65">
        <f t="shared" si="0"/>
        <v>70</v>
      </c>
      <c r="B80" s="59">
        <v>45835</v>
      </c>
      <c r="C80" s="66" t="s">
        <v>122</v>
      </c>
      <c r="D80" s="61"/>
      <c r="E80" s="67"/>
      <c r="F80" s="68">
        <v>95</v>
      </c>
      <c r="G80" s="69">
        <f t="shared" si="1"/>
        <v>868</v>
      </c>
      <c r="H80" s="74"/>
      <c r="I80" s="58"/>
    </row>
    <row r="81" spans="1:12" x14ac:dyDescent="0.25">
      <c r="A81" s="65">
        <f t="shared" si="0"/>
        <v>71</v>
      </c>
      <c r="B81" s="59">
        <v>45836</v>
      </c>
      <c r="C81" s="66"/>
      <c r="D81" s="61"/>
      <c r="E81" s="67"/>
      <c r="F81" s="68">
        <v>113</v>
      </c>
      <c r="G81" s="69">
        <f t="shared" si="1"/>
        <v>755</v>
      </c>
      <c r="H81" s="74"/>
      <c r="I81" s="58"/>
    </row>
    <row r="82" spans="1:12" x14ac:dyDescent="0.25">
      <c r="A82" s="65">
        <f t="shared" si="0"/>
        <v>72</v>
      </c>
      <c r="B82" s="59">
        <v>45838</v>
      </c>
      <c r="C82" s="66"/>
      <c r="D82" s="61"/>
      <c r="E82" s="67"/>
      <c r="F82" s="68">
        <v>169</v>
      </c>
      <c r="G82" s="69">
        <f t="shared" si="1"/>
        <v>586</v>
      </c>
      <c r="H82" s="74"/>
      <c r="I82" s="58"/>
    </row>
    <row r="83" spans="1:12" x14ac:dyDescent="0.25">
      <c r="A83" s="65">
        <f t="shared" si="0"/>
        <v>73</v>
      </c>
      <c r="B83" s="59">
        <v>45840</v>
      </c>
      <c r="C83" s="66"/>
      <c r="D83" s="61"/>
      <c r="E83" s="67"/>
      <c r="F83" s="68">
        <v>148</v>
      </c>
      <c r="G83" s="69">
        <f t="shared" si="1"/>
        <v>438</v>
      </c>
      <c r="H83" s="74"/>
      <c r="I83" s="58"/>
    </row>
    <row r="84" spans="1:12" x14ac:dyDescent="0.25">
      <c r="A84" s="65">
        <f t="shared" si="0"/>
        <v>74</v>
      </c>
      <c r="B84" s="59">
        <v>45841</v>
      </c>
      <c r="C84" s="66"/>
      <c r="D84" s="61"/>
      <c r="E84" s="67"/>
      <c r="F84" s="68">
        <v>172</v>
      </c>
      <c r="G84" s="69">
        <f t="shared" si="1"/>
        <v>266</v>
      </c>
      <c r="H84" s="74"/>
      <c r="I84" s="58"/>
    </row>
    <row r="85" spans="1:12" x14ac:dyDescent="0.25">
      <c r="A85" s="65">
        <f t="shared" si="0"/>
        <v>75</v>
      </c>
      <c r="B85" s="59">
        <v>45842</v>
      </c>
      <c r="C85" s="66"/>
      <c r="D85" s="61"/>
      <c r="E85" s="67"/>
      <c r="F85" s="68">
        <v>178</v>
      </c>
      <c r="G85" s="69">
        <f t="shared" si="1"/>
        <v>88</v>
      </c>
      <c r="H85" s="74"/>
      <c r="I85" s="58"/>
    </row>
    <row r="86" spans="1:12" x14ac:dyDescent="0.25">
      <c r="A86" s="65">
        <f t="shared" si="0"/>
        <v>76</v>
      </c>
      <c r="B86" s="59">
        <v>45847</v>
      </c>
      <c r="C86" s="66"/>
      <c r="D86" s="61"/>
      <c r="E86" s="67">
        <v>1000</v>
      </c>
      <c r="F86" s="68">
        <v>43</v>
      </c>
      <c r="G86" s="69">
        <f t="shared" si="1"/>
        <v>1045</v>
      </c>
      <c r="H86" s="74"/>
      <c r="I86" s="58"/>
    </row>
    <row r="87" spans="1:12" x14ac:dyDescent="0.25">
      <c r="A87" s="65">
        <f t="shared" si="0"/>
        <v>77</v>
      </c>
      <c r="B87" s="59">
        <v>45848</v>
      </c>
      <c r="C87" s="66"/>
      <c r="D87" s="61"/>
      <c r="E87" s="67"/>
      <c r="F87" s="68">
        <v>175</v>
      </c>
      <c r="G87" s="69">
        <f t="shared" si="1"/>
        <v>870</v>
      </c>
      <c r="H87" s="74"/>
      <c r="I87" s="58"/>
    </row>
    <row r="88" spans="1:12" x14ac:dyDescent="0.25">
      <c r="A88" s="65">
        <f t="shared" si="0"/>
        <v>78</v>
      </c>
      <c r="B88" s="59">
        <v>45849</v>
      </c>
      <c r="C88" s="66"/>
      <c r="D88" s="61"/>
      <c r="E88" s="67"/>
      <c r="F88" s="68">
        <v>144</v>
      </c>
      <c r="G88" s="69">
        <f t="shared" si="1"/>
        <v>726</v>
      </c>
      <c r="H88" s="74"/>
      <c r="I88" s="58"/>
    </row>
    <row r="89" spans="1:12" x14ac:dyDescent="0.25">
      <c r="A89" s="65">
        <f t="shared" si="0"/>
        <v>79</v>
      </c>
      <c r="B89" s="59">
        <v>45850</v>
      </c>
      <c r="C89" s="66"/>
      <c r="D89" s="61"/>
      <c r="E89" s="67"/>
      <c r="F89" s="68">
        <v>147</v>
      </c>
      <c r="G89" s="69">
        <f t="shared" si="1"/>
        <v>579</v>
      </c>
      <c r="H89" s="74"/>
      <c r="I89" s="58"/>
    </row>
    <row r="90" spans="1:12" x14ac:dyDescent="0.25">
      <c r="A90" s="65">
        <f t="shared" si="0"/>
        <v>80</v>
      </c>
      <c r="B90" s="59">
        <v>45852</v>
      </c>
      <c r="C90" s="66"/>
      <c r="D90" s="61"/>
      <c r="E90" s="67"/>
      <c r="F90" s="68">
        <v>148</v>
      </c>
      <c r="G90" s="69">
        <f t="shared" si="1"/>
        <v>431</v>
      </c>
      <c r="H90" s="74"/>
      <c r="I90" s="58"/>
      <c r="L90" s="55">
        <f>4282/16</f>
        <v>267.625</v>
      </c>
    </row>
    <row r="91" spans="1:12" x14ac:dyDescent="0.25">
      <c r="A91" s="65">
        <f t="shared" si="0"/>
        <v>81</v>
      </c>
      <c r="B91" s="59">
        <v>45853</v>
      </c>
      <c r="C91" s="66"/>
      <c r="D91" s="61"/>
      <c r="E91" s="67"/>
      <c r="F91" s="68">
        <v>115</v>
      </c>
      <c r="G91" s="69">
        <f t="shared" si="1"/>
        <v>316</v>
      </c>
      <c r="H91" s="74"/>
      <c r="I91" s="58"/>
    </row>
    <row r="92" spans="1:12" x14ac:dyDescent="0.25">
      <c r="A92" s="65">
        <f t="shared" si="0"/>
        <v>82</v>
      </c>
      <c r="B92" s="59">
        <v>45854</v>
      </c>
      <c r="C92" s="66"/>
      <c r="D92" s="61"/>
      <c r="E92" s="67">
        <v>1000</v>
      </c>
      <c r="F92" s="68">
        <v>146</v>
      </c>
      <c r="G92" s="69">
        <f t="shared" si="1"/>
        <v>1170</v>
      </c>
      <c r="H92" s="74"/>
      <c r="I92" s="58"/>
    </row>
    <row r="93" spans="1:12" x14ac:dyDescent="0.25">
      <c r="A93" s="65">
        <f t="shared" si="0"/>
        <v>83</v>
      </c>
      <c r="B93" s="59">
        <v>45855</v>
      </c>
      <c r="C93" s="66"/>
      <c r="D93" s="61"/>
      <c r="E93" s="67"/>
      <c r="F93" s="68">
        <v>145</v>
      </c>
      <c r="G93" s="69">
        <f t="shared" si="1"/>
        <v>1025</v>
      </c>
      <c r="H93" s="74"/>
      <c r="I93" s="58"/>
    </row>
    <row r="94" spans="1:12" x14ac:dyDescent="0.25">
      <c r="A94" s="65">
        <f t="shared" si="0"/>
        <v>84</v>
      </c>
      <c r="B94" s="59">
        <v>45856</v>
      </c>
      <c r="C94" s="66"/>
      <c r="D94" s="61"/>
      <c r="E94" s="67"/>
      <c r="F94" s="68">
        <v>146</v>
      </c>
      <c r="G94" s="69">
        <f t="shared" si="1"/>
        <v>879</v>
      </c>
      <c r="H94" s="74"/>
      <c r="I94" s="58"/>
    </row>
    <row r="95" spans="1:12" x14ac:dyDescent="0.25">
      <c r="A95" s="65">
        <f t="shared" si="0"/>
        <v>85</v>
      </c>
      <c r="B95" s="59">
        <v>45861</v>
      </c>
      <c r="C95" s="66"/>
      <c r="D95" s="61"/>
      <c r="E95" s="67"/>
      <c r="F95" s="68">
        <v>111</v>
      </c>
      <c r="G95" s="69">
        <f t="shared" si="1"/>
        <v>768</v>
      </c>
      <c r="H95" s="74"/>
      <c r="I95" s="58"/>
    </row>
    <row r="96" spans="1:12" x14ac:dyDescent="0.25">
      <c r="A96" s="65">
        <f t="shared" si="0"/>
        <v>86</v>
      </c>
      <c r="B96" s="59">
        <v>45862</v>
      </c>
      <c r="C96" s="66"/>
      <c r="D96" s="61"/>
      <c r="E96" s="67"/>
      <c r="F96" s="68">
        <v>142</v>
      </c>
      <c r="G96" s="69">
        <f t="shared" si="1"/>
        <v>626</v>
      </c>
      <c r="H96" s="74"/>
      <c r="I96" s="58"/>
    </row>
    <row r="97" spans="1:14" x14ac:dyDescent="0.25">
      <c r="A97" s="65">
        <f t="shared" si="0"/>
        <v>87</v>
      </c>
      <c r="B97" s="59">
        <v>45863</v>
      </c>
      <c r="C97" s="66"/>
      <c r="D97" s="61"/>
      <c r="E97" s="67"/>
      <c r="F97" s="68">
        <v>147</v>
      </c>
      <c r="G97" s="69">
        <f t="shared" si="1"/>
        <v>479</v>
      </c>
      <c r="H97" s="74"/>
      <c r="I97" s="58"/>
      <c r="L97" s="55">
        <f>4432*91</f>
        <v>403312</v>
      </c>
    </row>
    <row r="98" spans="1:14" x14ac:dyDescent="0.25">
      <c r="A98" s="65">
        <f t="shared" si="0"/>
        <v>88</v>
      </c>
      <c r="B98" s="59">
        <v>45867</v>
      </c>
      <c r="C98" s="66"/>
      <c r="D98" s="61"/>
      <c r="E98" s="67">
        <v>960</v>
      </c>
      <c r="F98" s="68">
        <v>130</v>
      </c>
      <c r="G98" s="69">
        <f t="shared" si="1"/>
        <v>1309</v>
      </c>
      <c r="H98" s="74"/>
      <c r="I98" s="58"/>
      <c r="L98" s="55">
        <f>+L97/2821</f>
        <v>142.96774193548387</v>
      </c>
    </row>
    <row r="99" spans="1:14" x14ac:dyDescent="0.25">
      <c r="A99" s="65">
        <f t="shared" si="0"/>
        <v>89</v>
      </c>
      <c r="B99" s="59">
        <v>45871</v>
      </c>
      <c r="C99" s="66"/>
      <c r="D99" s="61"/>
      <c r="E99" s="67"/>
      <c r="F99" s="68">
        <v>126</v>
      </c>
      <c r="G99" s="69">
        <f t="shared" si="1"/>
        <v>1183</v>
      </c>
      <c r="H99" s="74"/>
      <c r="I99" s="58"/>
      <c r="N99" s="55">
        <f>1440+1872+32</f>
        <v>3344</v>
      </c>
    </row>
    <row r="100" spans="1:14" x14ac:dyDescent="0.25">
      <c r="A100" s="65">
        <f t="shared" si="0"/>
        <v>90</v>
      </c>
      <c r="B100" s="59">
        <v>45873</v>
      </c>
      <c r="C100" s="66"/>
      <c r="D100" s="61"/>
      <c r="E100" s="67"/>
      <c r="F100" s="68">
        <v>103</v>
      </c>
      <c r="G100" s="69">
        <f t="shared" si="1"/>
        <v>1080</v>
      </c>
      <c r="H100" s="74"/>
      <c r="I100" s="58"/>
    </row>
    <row r="101" spans="1:14" x14ac:dyDescent="0.25">
      <c r="A101" s="65">
        <f t="shared" si="0"/>
        <v>91</v>
      </c>
      <c r="B101" s="59">
        <v>45874</v>
      </c>
      <c r="C101" s="66"/>
      <c r="D101" s="61"/>
      <c r="E101" s="67"/>
      <c r="F101" s="68">
        <v>165</v>
      </c>
      <c r="G101" s="69">
        <f t="shared" si="1"/>
        <v>915</v>
      </c>
      <c r="H101" s="74"/>
      <c r="I101" s="58"/>
    </row>
    <row r="102" spans="1:14" x14ac:dyDescent="0.25">
      <c r="A102" s="65">
        <f t="shared" si="0"/>
        <v>92</v>
      </c>
      <c r="B102" s="59">
        <v>45875</v>
      </c>
      <c r="C102" s="66"/>
      <c r="D102" s="61"/>
      <c r="E102" s="67"/>
      <c r="F102" s="68">
        <v>127</v>
      </c>
      <c r="G102" s="69">
        <f t="shared" si="1"/>
        <v>788</v>
      </c>
      <c r="H102" s="74"/>
      <c r="I102" s="58"/>
    </row>
    <row r="103" spans="1:14" x14ac:dyDescent="0.25">
      <c r="A103" s="65">
        <f t="shared" si="0"/>
        <v>93</v>
      </c>
      <c r="B103" s="59">
        <v>45876</v>
      </c>
      <c r="C103" s="66"/>
      <c r="D103" s="61"/>
      <c r="E103" s="67"/>
      <c r="F103" s="68">
        <v>141</v>
      </c>
      <c r="G103" s="69">
        <f t="shared" si="1"/>
        <v>647</v>
      </c>
      <c r="H103" s="74"/>
      <c r="I103" s="58"/>
    </row>
    <row r="104" spans="1:14" x14ac:dyDescent="0.25">
      <c r="A104" s="65">
        <f t="shared" si="0"/>
        <v>94</v>
      </c>
      <c r="B104" s="59">
        <v>45877</v>
      </c>
      <c r="C104" s="66"/>
      <c r="D104" s="61"/>
      <c r="E104" s="67">
        <v>985</v>
      </c>
      <c r="F104" s="68">
        <v>105</v>
      </c>
      <c r="G104" s="69">
        <f t="shared" si="1"/>
        <v>1527</v>
      </c>
      <c r="H104" s="74"/>
      <c r="I104" s="58"/>
    </row>
    <row r="105" spans="1:14" x14ac:dyDescent="0.25">
      <c r="A105" s="65">
        <f t="shared" si="0"/>
        <v>95</v>
      </c>
      <c r="B105" s="59">
        <v>45882</v>
      </c>
      <c r="C105" s="66"/>
      <c r="D105" s="61"/>
      <c r="E105" s="67"/>
      <c r="F105" s="68">
        <v>37</v>
      </c>
      <c r="G105" s="69">
        <f t="shared" si="1"/>
        <v>1490</v>
      </c>
      <c r="H105" s="74"/>
      <c r="I105" s="58"/>
    </row>
    <row r="106" spans="1:14" x14ac:dyDescent="0.25">
      <c r="A106" s="65">
        <f t="shared" si="0"/>
        <v>96</v>
      </c>
      <c r="B106" s="59">
        <v>45883</v>
      </c>
      <c r="C106" s="66"/>
      <c r="D106" s="61"/>
      <c r="E106" s="67"/>
      <c r="F106" s="68">
        <v>165</v>
      </c>
      <c r="G106" s="69">
        <f t="shared" si="1"/>
        <v>1325</v>
      </c>
      <c r="H106" s="74"/>
      <c r="I106" s="58"/>
    </row>
    <row r="107" spans="1:14" x14ac:dyDescent="0.25">
      <c r="A107" s="65">
        <f t="shared" si="0"/>
        <v>97</v>
      </c>
      <c r="B107" s="59">
        <v>45884</v>
      </c>
      <c r="C107" s="66"/>
      <c r="D107" s="61"/>
      <c r="E107" s="67"/>
      <c r="F107" s="68">
        <v>80</v>
      </c>
      <c r="G107" s="69">
        <f t="shared" si="1"/>
        <v>1245</v>
      </c>
      <c r="H107" s="74"/>
      <c r="I107" s="58"/>
    </row>
    <row r="108" spans="1:14" x14ac:dyDescent="0.25">
      <c r="A108" s="65">
        <f t="shared" si="0"/>
        <v>98</v>
      </c>
      <c r="B108" s="59">
        <v>45885</v>
      </c>
      <c r="C108" s="66"/>
      <c r="D108" s="61"/>
      <c r="E108" s="67"/>
      <c r="F108" s="68">
        <v>136</v>
      </c>
      <c r="G108" s="69">
        <f t="shared" si="1"/>
        <v>1109</v>
      </c>
      <c r="H108" s="74"/>
      <c r="I108" s="58"/>
    </row>
    <row r="109" spans="1:14" x14ac:dyDescent="0.25">
      <c r="A109" s="65">
        <f t="shared" si="0"/>
        <v>99</v>
      </c>
      <c r="B109" s="59">
        <v>45887</v>
      </c>
      <c r="C109" s="66"/>
      <c r="D109" s="61"/>
      <c r="E109" s="67"/>
      <c r="F109" s="68">
        <v>140</v>
      </c>
      <c r="G109" s="69">
        <f t="shared" si="1"/>
        <v>969</v>
      </c>
      <c r="H109" s="74"/>
      <c r="I109" s="58"/>
    </row>
    <row r="110" spans="1:14" x14ac:dyDescent="0.25">
      <c r="A110" s="65">
        <f t="shared" si="0"/>
        <v>100</v>
      </c>
      <c r="B110" s="59">
        <v>45888</v>
      </c>
      <c r="C110" s="66"/>
      <c r="D110" s="61"/>
      <c r="E110" s="67"/>
      <c r="F110" s="68">
        <v>178</v>
      </c>
      <c r="G110" s="69">
        <f t="shared" si="1"/>
        <v>791</v>
      </c>
      <c r="H110" s="74"/>
      <c r="I110" s="58"/>
    </row>
    <row r="111" spans="1:14" x14ac:dyDescent="0.25">
      <c r="A111" s="65">
        <f t="shared" si="0"/>
        <v>101</v>
      </c>
      <c r="B111" s="59">
        <v>45889</v>
      </c>
      <c r="C111" s="66"/>
      <c r="D111" s="61"/>
      <c r="E111" s="67"/>
      <c r="F111" s="68">
        <v>146</v>
      </c>
      <c r="G111" s="69">
        <f t="shared" si="1"/>
        <v>645</v>
      </c>
      <c r="H111" s="74"/>
      <c r="I111" s="58"/>
    </row>
    <row r="112" spans="1:14" x14ac:dyDescent="0.25">
      <c r="A112" s="65">
        <f t="shared" si="0"/>
        <v>102</v>
      </c>
      <c r="B112" s="59">
        <v>45903</v>
      </c>
      <c r="C112" s="66"/>
      <c r="D112" s="61"/>
      <c r="E112" s="67"/>
      <c r="F112" s="68">
        <v>39</v>
      </c>
      <c r="G112" s="69">
        <f t="shared" si="1"/>
        <v>606</v>
      </c>
      <c r="H112" s="74"/>
      <c r="I112" s="58"/>
    </row>
    <row r="113" spans="1:14" x14ac:dyDescent="0.25">
      <c r="A113" s="65">
        <f t="shared" si="0"/>
        <v>103</v>
      </c>
      <c r="B113" s="59">
        <v>45904</v>
      </c>
      <c r="C113" s="66"/>
      <c r="D113" s="61"/>
      <c r="E113" s="67"/>
      <c r="F113" s="68">
        <v>107</v>
      </c>
      <c r="G113" s="69">
        <f t="shared" si="1"/>
        <v>499</v>
      </c>
      <c r="H113" s="74"/>
      <c r="I113" s="58"/>
    </row>
    <row r="114" spans="1:14" x14ac:dyDescent="0.25">
      <c r="A114" s="65">
        <f t="shared" si="0"/>
        <v>104</v>
      </c>
      <c r="B114" s="59">
        <v>45813</v>
      </c>
      <c r="C114" s="66"/>
      <c r="D114" s="61"/>
      <c r="E114" s="67"/>
      <c r="F114" s="68">
        <v>93</v>
      </c>
      <c r="G114" s="69">
        <f t="shared" si="1"/>
        <v>406</v>
      </c>
      <c r="H114" s="74"/>
      <c r="I114" s="58"/>
    </row>
    <row r="115" spans="1:14" x14ac:dyDescent="0.25">
      <c r="A115" s="65">
        <f t="shared" si="0"/>
        <v>105</v>
      </c>
      <c r="B115" s="59">
        <v>45906</v>
      </c>
      <c r="C115" s="66"/>
      <c r="D115" s="61"/>
      <c r="E115" s="67"/>
      <c r="F115" s="68">
        <v>144</v>
      </c>
      <c r="G115" s="69">
        <f t="shared" si="1"/>
        <v>262</v>
      </c>
      <c r="H115" s="74"/>
      <c r="I115" s="58"/>
    </row>
    <row r="116" spans="1:14" x14ac:dyDescent="0.25">
      <c r="A116" s="65">
        <f t="shared" si="0"/>
        <v>106</v>
      </c>
      <c r="B116" s="59">
        <v>45908</v>
      </c>
      <c r="C116" s="66"/>
      <c r="D116" s="61"/>
      <c r="E116" s="67"/>
      <c r="F116" s="68">
        <v>135</v>
      </c>
      <c r="G116" s="69">
        <f t="shared" si="1"/>
        <v>127</v>
      </c>
      <c r="H116" s="74"/>
      <c r="I116" s="58"/>
    </row>
    <row r="117" spans="1:14" x14ac:dyDescent="0.25">
      <c r="A117" s="65">
        <f t="shared" si="0"/>
        <v>107</v>
      </c>
      <c r="B117" s="59">
        <v>45909</v>
      </c>
      <c r="C117" s="66"/>
      <c r="D117" s="61"/>
      <c r="E117" s="67"/>
      <c r="F117" s="68">
        <v>144</v>
      </c>
      <c r="G117" s="69">
        <f t="shared" si="1"/>
        <v>-17</v>
      </c>
      <c r="H117" s="74"/>
      <c r="I117" s="58"/>
    </row>
    <row r="118" spans="1:14" x14ac:dyDescent="0.25">
      <c r="A118" s="65">
        <f t="shared" si="0"/>
        <v>108</v>
      </c>
      <c r="B118" s="59">
        <v>45919</v>
      </c>
      <c r="C118" s="66"/>
      <c r="D118" s="61"/>
      <c r="E118" s="67">
        <v>502</v>
      </c>
      <c r="F118" s="68"/>
      <c r="G118" s="69">
        <f t="shared" si="1"/>
        <v>485</v>
      </c>
      <c r="H118" s="74"/>
      <c r="I118" s="58"/>
    </row>
    <row r="119" spans="1:14" x14ac:dyDescent="0.25">
      <c r="A119" s="65">
        <f t="shared" si="0"/>
        <v>109</v>
      </c>
      <c r="B119" s="59">
        <v>45920</v>
      </c>
      <c r="C119" s="66"/>
      <c r="D119" s="61"/>
      <c r="E119" s="67"/>
      <c r="F119" s="68">
        <v>121</v>
      </c>
      <c r="G119" s="69">
        <f t="shared" si="1"/>
        <v>364</v>
      </c>
      <c r="H119" s="74"/>
      <c r="I119" s="58"/>
    </row>
    <row r="120" spans="1:14" x14ac:dyDescent="0.25">
      <c r="A120" s="65">
        <f t="shared" si="0"/>
        <v>110</v>
      </c>
      <c r="B120" s="59">
        <v>45922</v>
      </c>
      <c r="C120" s="66"/>
      <c r="D120" s="61"/>
      <c r="E120" s="67"/>
      <c r="F120" s="68">
        <v>140</v>
      </c>
      <c r="G120" s="69">
        <f t="shared" si="1"/>
        <v>224</v>
      </c>
      <c r="H120" s="74"/>
      <c r="I120" s="58"/>
    </row>
    <row r="121" spans="1:14" x14ac:dyDescent="0.25">
      <c r="A121" s="65">
        <f t="shared" si="0"/>
        <v>111</v>
      </c>
      <c r="B121" s="59">
        <v>45923</v>
      </c>
      <c r="C121" s="66"/>
      <c r="D121" s="61"/>
      <c r="E121" s="67"/>
      <c r="F121" s="68">
        <v>103</v>
      </c>
      <c r="G121" s="69">
        <f t="shared" si="1"/>
        <v>121</v>
      </c>
      <c r="H121" s="74"/>
      <c r="I121" s="58"/>
    </row>
    <row r="122" spans="1:14" x14ac:dyDescent="0.25">
      <c r="A122" s="65">
        <f t="shared" si="0"/>
        <v>112</v>
      </c>
      <c r="B122" s="59">
        <v>45928</v>
      </c>
      <c r="C122" s="66"/>
      <c r="D122" s="61"/>
      <c r="E122" s="67">
        <v>1000</v>
      </c>
      <c r="F122" s="68"/>
      <c r="G122" s="69">
        <f t="shared" si="1"/>
        <v>1121</v>
      </c>
      <c r="H122" s="74"/>
      <c r="I122" s="58"/>
    </row>
    <row r="123" spans="1:14" x14ac:dyDescent="0.25">
      <c r="A123" s="65">
        <f t="shared" si="0"/>
        <v>113</v>
      </c>
      <c r="B123" s="59">
        <v>45929</v>
      </c>
      <c r="C123" s="66"/>
      <c r="D123" s="61"/>
      <c r="E123" s="67"/>
      <c r="F123" s="68">
        <v>147</v>
      </c>
      <c r="G123" s="69">
        <f t="shared" si="1"/>
        <v>974</v>
      </c>
      <c r="H123" s="74"/>
      <c r="I123" s="58"/>
    </row>
    <row r="124" spans="1:14" x14ac:dyDescent="0.25">
      <c r="A124" s="65">
        <f t="shared" si="0"/>
        <v>114</v>
      </c>
      <c r="B124" s="59">
        <v>45930</v>
      </c>
      <c r="C124" s="66"/>
      <c r="D124" s="61"/>
      <c r="E124" s="67"/>
      <c r="F124" s="68">
        <v>110</v>
      </c>
      <c r="G124" s="69">
        <f t="shared" si="1"/>
        <v>864</v>
      </c>
      <c r="H124" s="58"/>
      <c r="I124" s="58"/>
      <c r="N124" s="55">
        <f>+N99/16</f>
        <v>209</v>
      </c>
    </row>
    <row r="125" spans="1:14" x14ac:dyDescent="0.25">
      <c r="A125" s="65">
        <f t="shared" si="0"/>
        <v>115</v>
      </c>
      <c r="B125" s="59">
        <v>45931</v>
      </c>
      <c r="C125" s="66"/>
      <c r="D125" s="61"/>
      <c r="E125" s="67"/>
      <c r="F125" s="68">
        <v>145</v>
      </c>
      <c r="G125" s="69">
        <f t="shared" si="1"/>
        <v>719</v>
      </c>
      <c r="H125" s="58"/>
      <c r="I125" s="58"/>
      <c r="K125" s="176"/>
    </row>
    <row r="126" spans="1:14" x14ac:dyDescent="0.25">
      <c r="A126" s="65">
        <f t="shared" si="0"/>
        <v>116</v>
      </c>
      <c r="B126" s="59">
        <v>45932</v>
      </c>
      <c r="C126" s="66"/>
      <c r="D126" s="61"/>
      <c r="E126" s="67"/>
      <c r="F126" s="68">
        <v>145</v>
      </c>
      <c r="G126" s="69">
        <f t="shared" si="1"/>
        <v>574</v>
      </c>
      <c r="H126" s="58"/>
      <c r="I126" s="58"/>
    </row>
    <row r="127" spans="1:14" x14ac:dyDescent="0.25">
      <c r="A127" s="65">
        <f t="shared" si="0"/>
        <v>117</v>
      </c>
      <c r="B127" s="59">
        <v>45933</v>
      </c>
      <c r="C127" s="66"/>
      <c r="D127" s="61"/>
      <c r="E127" s="67"/>
      <c r="F127" s="68">
        <v>107</v>
      </c>
      <c r="G127" s="69">
        <f t="shared" si="1"/>
        <v>467</v>
      </c>
      <c r="H127" s="58"/>
      <c r="I127" s="58"/>
    </row>
    <row r="128" spans="1:14" x14ac:dyDescent="0.25">
      <c r="A128" s="65">
        <f t="shared" si="0"/>
        <v>118</v>
      </c>
      <c r="B128" s="59">
        <v>45934</v>
      </c>
      <c r="C128" s="66"/>
      <c r="D128" s="61"/>
      <c r="E128" s="67"/>
      <c r="F128" s="68">
        <v>103</v>
      </c>
      <c r="G128" s="69">
        <f t="shared" si="1"/>
        <v>364</v>
      </c>
      <c r="H128" s="58"/>
      <c r="I128" s="58"/>
    </row>
    <row r="129" spans="1:12" x14ac:dyDescent="0.25">
      <c r="A129" s="65">
        <f t="shared" si="0"/>
        <v>119</v>
      </c>
      <c r="B129" s="59">
        <v>45936</v>
      </c>
      <c r="C129" s="66"/>
      <c r="D129" s="61"/>
      <c r="E129" s="67"/>
      <c r="F129" s="68">
        <v>143</v>
      </c>
      <c r="G129" s="69">
        <f t="shared" si="1"/>
        <v>221</v>
      </c>
      <c r="H129" s="58"/>
      <c r="I129" s="58"/>
    </row>
    <row r="130" spans="1:12" x14ac:dyDescent="0.25">
      <c r="A130" s="65">
        <f t="shared" si="0"/>
        <v>120</v>
      </c>
      <c r="B130" s="59">
        <v>45937</v>
      </c>
      <c r="C130" s="66"/>
      <c r="D130" s="61"/>
      <c r="E130" s="67">
        <v>115</v>
      </c>
      <c r="F130" s="68">
        <v>106</v>
      </c>
      <c r="G130" s="69">
        <f t="shared" si="1"/>
        <v>230</v>
      </c>
      <c r="H130" s="58"/>
      <c r="I130" s="58"/>
    </row>
    <row r="131" spans="1:12" x14ac:dyDescent="0.25">
      <c r="A131" s="65">
        <f t="shared" si="0"/>
        <v>121</v>
      </c>
      <c r="B131" s="59">
        <v>45938</v>
      </c>
      <c r="C131" s="66"/>
      <c r="D131" s="61"/>
      <c r="E131" s="67"/>
      <c r="F131" s="68">
        <v>108</v>
      </c>
      <c r="G131" s="69">
        <f t="shared" si="1"/>
        <v>122</v>
      </c>
      <c r="H131" s="58"/>
      <c r="I131" s="58"/>
    </row>
    <row r="132" spans="1:12" x14ac:dyDescent="0.25">
      <c r="A132" s="65">
        <f t="shared" si="0"/>
        <v>122</v>
      </c>
      <c r="B132" s="59" t="s">
        <v>153</v>
      </c>
      <c r="C132" s="66"/>
      <c r="D132" s="61"/>
      <c r="E132" s="67"/>
      <c r="F132" s="68">
        <v>143</v>
      </c>
      <c r="G132" s="69">
        <f t="shared" si="1"/>
        <v>-21</v>
      </c>
      <c r="H132" s="58"/>
      <c r="I132" s="58"/>
    </row>
    <row r="133" spans="1:12" x14ac:dyDescent="0.25">
      <c r="A133" s="65">
        <f t="shared" si="0"/>
        <v>123</v>
      </c>
      <c r="B133" s="59"/>
      <c r="C133" s="66"/>
      <c r="D133" s="61"/>
      <c r="E133" s="67"/>
      <c r="F133" s="68"/>
      <c r="G133" s="69">
        <f t="shared" si="1"/>
        <v>-21</v>
      </c>
      <c r="H133" s="58"/>
      <c r="I133" s="58"/>
    </row>
    <row r="134" spans="1:12" x14ac:dyDescent="0.25">
      <c r="A134" s="65">
        <f t="shared" si="0"/>
        <v>124</v>
      </c>
      <c r="B134" s="59"/>
      <c r="C134" s="66"/>
      <c r="D134" s="61"/>
      <c r="E134" s="67"/>
      <c r="F134" s="68"/>
      <c r="G134" s="69">
        <f t="shared" si="1"/>
        <v>-21</v>
      </c>
      <c r="H134" s="58"/>
      <c r="I134" s="58"/>
    </row>
    <row r="135" spans="1:12" x14ac:dyDescent="0.25">
      <c r="A135" s="65">
        <f t="shared" si="0"/>
        <v>125</v>
      </c>
      <c r="B135" s="59"/>
      <c r="C135" s="66"/>
      <c r="D135" s="61"/>
      <c r="E135" s="67"/>
      <c r="F135" s="68"/>
      <c r="G135" s="69">
        <f t="shared" si="1"/>
        <v>-21</v>
      </c>
      <c r="H135" s="58"/>
      <c r="I135" s="58"/>
    </row>
    <row r="136" spans="1:12" x14ac:dyDescent="0.25">
      <c r="A136" s="65">
        <f t="shared" si="0"/>
        <v>126</v>
      </c>
      <c r="B136" s="59"/>
      <c r="C136" s="66"/>
      <c r="D136" s="61"/>
      <c r="E136" s="67"/>
      <c r="F136" s="68"/>
      <c r="G136" s="69">
        <f t="shared" si="1"/>
        <v>-21</v>
      </c>
      <c r="H136" s="58"/>
      <c r="I136" s="58"/>
    </row>
    <row r="137" spans="1:12" x14ac:dyDescent="0.25">
      <c r="A137" s="65">
        <f t="shared" si="0"/>
        <v>127</v>
      </c>
      <c r="B137" s="59"/>
      <c r="C137" s="66"/>
      <c r="D137" s="61"/>
      <c r="E137" s="67"/>
      <c r="F137" s="68"/>
      <c r="G137" s="69">
        <f t="shared" si="1"/>
        <v>-21</v>
      </c>
      <c r="H137" s="58"/>
      <c r="I137" s="58"/>
    </row>
    <row r="138" spans="1:12" x14ac:dyDescent="0.25">
      <c r="A138" s="65">
        <f t="shared" si="0"/>
        <v>128</v>
      </c>
      <c r="B138" s="59"/>
      <c r="C138" s="66"/>
      <c r="D138" s="61"/>
      <c r="E138" s="67"/>
      <c r="F138" s="68"/>
      <c r="G138" s="69">
        <f t="shared" si="1"/>
        <v>-21</v>
      </c>
      <c r="H138" s="58"/>
      <c r="I138" s="58"/>
    </row>
    <row r="139" spans="1:12" x14ac:dyDescent="0.25">
      <c r="A139" s="65">
        <f t="shared" si="0"/>
        <v>129</v>
      </c>
      <c r="B139" s="59"/>
      <c r="C139" s="66"/>
      <c r="D139" s="61"/>
      <c r="E139" s="67"/>
      <c r="F139" s="68"/>
      <c r="G139" s="69">
        <f t="shared" si="1"/>
        <v>-21</v>
      </c>
      <c r="H139" s="58"/>
      <c r="I139" s="58"/>
    </row>
    <row r="140" spans="1:12" x14ac:dyDescent="0.25">
      <c r="A140" s="65">
        <f t="shared" si="0"/>
        <v>130</v>
      </c>
      <c r="B140" s="59"/>
      <c r="C140" s="66"/>
      <c r="D140" s="61"/>
      <c r="E140" s="67"/>
      <c r="F140" s="68"/>
      <c r="G140" s="69">
        <f t="shared" si="1"/>
        <v>-21</v>
      </c>
      <c r="H140" s="58"/>
      <c r="I140" s="58"/>
    </row>
    <row r="141" spans="1:12" x14ac:dyDescent="0.25">
      <c r="A141" s="65">
        <f t="shared" si="0"/>
        <v>131</v>
      </c>
      <c r="B141" s="59"/>
      <c r="C141" s="66"/>
      <c r="D141" s="61"/>
      <c r="E141" s="67"/>
      <c r="F141" s="68"/>
      <c r="G141" s="69">
        <f t="shared" si="1"/>
        <v>-21</v>
      </c>
      <c r="H141" s="58"/>
      <c r="I141" s="58"/>
    </row>
    <row r="142" spans="1:12" x14ac:dyDescent="0.25">
      <c r="A142" s="65">
        <f t="shared" si="0"/>
        <v>132</v>
      </c>
      <c r="B142" s="59"/>
      <c r="C142" s="66"/>
      <c r="D142" s="61"/>
      <c r="E142" s="67"/>
      <c r="F142" s="68"/>
      <c r="G142" s="69">
        <f t="shared" si="1"/>
        <v>-21</v>
      </c>
      <c r="H142" s="58"/>
      <c r="I142" s="58"/>
      <c r="L142" s="55">
        <f>7*30+30+18</f>
        <v>258</v>
      </c>
    </row>
    <row r="143" spans="1:12" x14ac:dyDescent="0.25">
      <c r="A143" s="65">
        <f t="shared" si="0"/>
        <v>133</v>
      </c>
      <c r="B143" s="59"/>
      <c r="C143" s="66"/>
      <c r="D143" s="61"/>
      <c r="E143" s="67"/>
      <c r="F143" s="68"/>
      <c r="G143" s="69">
        <f t="shared" si="1"/>
        <v>-21</v>
      </c>
      <c r="H143" s="58"/>
      <c r="I143" s="58"/>
    </row>
    <row r="144" spans="1:12" x14ac:dyDescent="0.25">
      <c r="A144" s="65">
        <f t="shared" si="0"/>
        <v>134</v>
      </c>
      <c r="B144" s="59"/>
      <c r="C144" s="66"/>
      <c r="D144" s="61"/>
      <c r="E144" s="67"/>
      <c r="F144" s="68"/>
      <c r="G144" s="69">
        <f t="shared" si="1"/>
        <v>-21</v>
      </c>
      <c r="H144" s="58"/>
      <c r="I144" s="58"/>
    </row>
    <row r="145" spans="1:15" x14ac:dyDescent="0.25">
      <c r="A145" s="65">
        <f t="shared" si="0"/>
        <v>135</v>
      </c>
      <c r="B145" s="75"/>
      <c r="C145" s="76"/>
      <c r="D145" s="61"/>
      <c r="E145" s="67"/>
      <c r="F145" s="68"/>
      <c r="G145" s="69">
        <f t="shared" si="1"/>
        <v>-21</v>
      </c>
      <c r="H145" s="69"/>
      <c r="I145" s="58"/>
    </row>
    <row r="146" spans="1:15" x14ac:dyDescent="0.25">
      <c r="A146" s="58"/>
      <c r="B146" s="58"/>
      <c r="C146" s="77" t="s">
        <v>13</v>
      </c>
      <c r="D146" s="58"/>
      <c r="E146" s="78">
        <f>SUM(E9:E145)</f>
        <v>13243</v>
      </c>
      <c r="F146" s="78">
        <f>SUM(F9:F145)</f>
        <v>13264</v>
      </c>
      <c r="G146" s="78">
        <f>+E146-F146+G8</f>
        <v>-21</v>
      </c>
      <c r="H146" s="78"/>
      <c r="I146" s="79"/>
    </row>
    <row r="147" spans="1:15" x14ac:dyDescent="0.25">
      <c r="E147" s="72"/>
      <c r="F147" s="72"/>
    </row>
    <row r="148" spans="1:15" x14ac:dyDescent="0.25">
      <c r="L148" s="55">
        <f>4352*91</f>
        <v>396032</v>
      </c>
    </row>
    <row r="149" spans="1:15" x14ac:dyDescent="0.25">
      <c r="L149" s="55">
        <f>+L148/2821</f>
        <v>140.38709677419354</v>
      </c>
    </row>
    <row r="157" spans="1:15" x14ac:dyDescent="0.25">
      <c r="O157" s="55">
        <f>60*4</f>
        <v>240</v>
      </c>
    </row>
  </sheetData>
  <mergeCells count="1">
    <mergeCell ref="A4:I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95A1-B863-411F-A403-E2066B727E74}">
  <sheetPr codeName="Sheet23"/>
  <dimension ref="A1:P62"/>
  <sheetViews>
    <sheetView workbookViewId="0">
      <selection activeCell="F21" sqref="F21"/>
    </sheetView>
  </sheetViews>
  <sheetFormatPr defaultRowHeight="15.75" x14ac:dyDescent="0.25"/>
  <cols>
    <col min="1" max="1" width="6" style="55" customWidth="1"/>
    <col min="2" max="2" width="11.5703125" style="55" customWidth="1"/>
    <col min="3" max="3" width="42.7109375" style="55" customWidth="1"/>
    <col min="4" max="4" width="6.5703125" style="55" customWidth="1"/>
    <col min="5" max="5" width="12.28515625" style="55" customWidth="1"/>
    <col min="6" max="6" width="12" style="55" customWidth="1"/>
    <col min="7" max="7" width="11.7109375" style="55" customWidth="1"/>
    <col min="8" max="8" width="14.28515625" style="55" customWidth="1"/>
    <col min="9" max="9" width="12.28515625" style="55" customWidth="1"/>
    <col min="10" max="10" width="9" style="55"/>
    <col min="11" max="11" width="9.85546875" style="55" bestFit="1" customWidth="1"/>
    <col min="12" max="12" width="11.28515625" style="55" bestFit="1" customWidth="1"/>
    <col min="13" max="16" width="9" style="55"/>
    <col min="17" max="17" width="11.7109375" style="55" bestFit="1" customWidth="1"/>
    <col min="18" max="256" width="9" style="55"/>
    <col min="257" max="257" width="6" style="55" customWidth="1"/>
    <col min="258" max="258" width="11.5703125" style="55" customWidth="1"/>
    <col min="259" max="259" width="42.7109375" style="55" customWidth="1"/>
    <col min="260" max="260" width="6.5703125" style="55" customWidth="1"/>
    <col min="261" max="261" width="12.28515625" style="55" customWidth="1"/>
    <col min="262" max="262" width="12" style="55" customWidth="1"/>
    <col min="263" max="263" width="11.7109375" style="55" customWidth="1"/>
    <col min="264" max="264" width="14.28515625" style="55" customWidth="1"/>
    <col min="265" max="265" width="12.28515625" style="55" customWidth="1"/>
    <col min="266" max="267" width="9" style="55"/>
    <col min="268" max="268" width="11.28515625" style="55" bestFit="1" customWidth="1"/>
    <col min="269" max="272" width="9" style="55"/>
    <col min="273" max="273" width="11.7109375" style="55" bestFit="1" customWidth="1"/>
    <col min="274" max="512" width="9" style="55"/>
    <col min="513" max="513" width="6" style="55" customWidth="1"/>
    <col min="514" max="514" width="11.5703125" style="55" customWidth="1"/>
    <col min="515" max="515" width="42.7109375" style="55" customWidth="1"/>
    <col min="516" max="516" width="6.5703125" style="55" customWidth="1"/>
    <col min="517" max="517" width="12.28515625" style="55" customWidth="1"/>
    <col min="518" max="518" width="12" style="55" customWidth="1"/>
    <col min="519" max="519" width="11.7109375" style="55" customWidth="1"/>
    <col min="520" max="520" width="14.28515625" style="55" customWidth="1"/>
    <col min="521" max="521" width="12.28515625" style="55" customWidth="1"/>
    <col min="522" max="523" width="9" style="55"/>
    <col min="524" max="524" width="11.28515625" style="55" bestFit="1" customWidth="1"/>
    <col min="525" max="528" width="9" style="55"/>
    <col min="529" max="529" width="11.7109375" style="55" bestFit="1" customWidth="1"/>
    <col min="530" max="768" width="9" style="55"/>
    <col min="769" max="769" width="6" style="55" customWidth="1"/>
    <col min="770" max="770" width="11.5703125" style="55" customWidth="1"/>
    <col min="771" max="771" width="42.7109375" style="55" customWidth="1"/>
    <col min="772" max="772" width="6.5703125" style="55" customWidth="1"/>
    <col min="773" max="773" width="12.28515625" style="55" customWidth="1"/>
    <col min="774" max="774" width="12" style="55" customWidth="1"/>
    <col min="775" max="775" width="11.7109375" style="55" customWidth="1"/>
    <col min="776" max="776" width="14.28515625" style="55" customWidth="1"/>
    <col min="777" max="777" width="12.28515625" style="55" customWidth="1"/>
    <col min="778" max="779" width="9" style="55"/>
    <col min="780" max="780" width="11.28515625" style="55" bestFit="1" customWidth="1"/>
    <col min="781" max="784" width="9" style="55"/>
    <col min="785" max="785" width="11.7109375" style="55" bestFit="1" customWidth="1"/>
    <col min="786" max="1024" width="9" style="55"/>
    <col min="1025" max="1025" width="6" style="55" customWidth="1"/>
    <col min="1026" max="1026" width="11.5703125" style="55" customWidth="1"/>
    <col min="1027" max="1027" width="42.7109375" style="55" customWidth="1"/>
    <col min="1028" max="1028" width="6.5703125" style="55" customWidth="1"/>
    <col min="1029" max="1029" width="12.28515625" style="55" customWidth="1"/>
    <col min="1030" max="1030" width="12" style="55" customWidth="1"/>
    <col min="1031" max="1031" width="11.7109375" style="55" customWidth="1"/>
    <col min="1032" max="1032" width="14.28515625" style="55" customWidth="1"/>
    <col min="1033" max="1033" width="12.28515625" style="55" customWidth="1"/>
    <col min="1034" max="1035" width="9" style="55"/>
    <col min="1036" max="1036" width="11.28515625" style="55" bestFit="1" customWidth="1"/>
    <col min="1037" max="1040" width="9" style="55"/>
    <col min="1041" max="1041" width="11.7109375" style="55" bestFit="1" customWidth="1"/>
    <col min="1042" max="1280" width="9" style="55"/>
    <col min="1281" max="1281" width="6" style="55" customWidth="1"/>
    <col min="1282" max="1282" width="11.5703125" style="55" customWidth="1"/>
    <col min="1283" max="1283" width="42.7109375" style="55" customWidth="1"/>
    <col min="1284" max="1284" width="6.5703125" style="55" customWidth="1"/>
    <col min="1285" max="1285" width="12.28515625" style="55" customWidth="1"/>
    <col min="1286" max="1286" width="12" style="55" customWidth="1"/>
    <col min="1287" max="1287" width="11.7109375" style="55" customWidth="1"/>
    <col min="1288" max="1288" width="14.28515625" style="55" customWidth="1"/>
    <col min="1289" max="1289" width="12.28515625" style="55" customWidth="1"/>
    <col min="1290" max="1291" width="9" style="55"/>
    <col min="1292" max="1292" width="11.28515625" style="55" bestFit="1" customWidth="1"/>
    <col min="1293" max="1296" width="9" style="55"/>
    <col min="1297" max="1297" width="11.7109375" style="55" bestFit="1" customWidth="1"/>
    <col min="1298" max="1536" width="9" style="55"/>
    <col min="1537" max="1537" width="6" style="55" customWidth="1"/>
    <col min="1538" max="1538" width="11.5703125" style="55" customWidth="1"/>
    <col min="1539" max="1539" width="42.7109375" style="55" customWidth="1"/>
    <col min="1540" max="1540" width="6.5703125" style="55" customWidth="1"/>
    <col min="1541" max="1541" width="12.28515625" style="55" customWidth="1"/>
    <col min="1542" max="1542" width="12" style="55" customWidth="1"/>
    <col min="1543" max="1543" width="11.7109375" style="55" customWidth="1"/>
    <col min="1544" max="1544" width="14.28515625" style="55" customWidth="1"/>
    <col min="1545" max="1545" width="12.28515625" style="55" customWidth="1"/>
    <col min="1546" max="1547" width="9" style="55"/>
    <col min="1548" max="1548" width="11.28515625" style="55" bestFit="1" customWidth="1"/>
    <col min="1549" max="1552" width="9" style="55"/>
    <col min="1553" max="1553" width="11.7109375" style="55" bestFit="1" customWidth="1"/>
    <col min="1554" max="1792" width="9" style="55"/>
    <col min="1793" max="1793" width="6" style="55" customWidth="1"/>
    <col min="1794" max="1794" width="11.5703125" style="55" customWidth="1"/>
    <col min="1795" max="1795" width="42.7109375" style="55" customWidth="1"/>
    <col min="1796" max="1796" width="6.5703125" style="55" customWidth="1"/>
    <col min="1797" max="1797" width="12.28515625" style="55" customWidth="1"/>
    <col min="1798" max="1798" width="12" style="55" customWidth="1"/>
    <col min="1799" max="1799" width="11.7109375" style="55" customWidth="1"/>
    <col min="1800" max="1800" width="14.28515625" style="55" customWidth="1"/>
    <col min="1801" max="1801" width="12.28515625" style="55" customWidth="1"/>
    <col min="1802" max="1803" width="9" style="55"/>
    <col min="1804" max="1804" width="11.28515625" style="55" bestFit="1" customWidth="1"/>
    <col min="1805" max="1808" width="9" style="55"/>
    <col min="1809" max="1809" width="11.7109375" style="55" bestFit="1" customWidth="1"/>
    <col min="1810" max="2048" width="9" style="55"/>
    <col min="2049" max="2049" width="6" style="55" customWidth="1"/>
    <col min="2050" max="2050" width="11.5703125" style="55" customWidth="1"/>
    <col min="2051" max="2051" width="42.7109375" style="55" customWidth="1"/>
    <col min="2052" max="2052" width="6.5703125" style="55" customWidth="1"/>
    <col min="2053" max="2053" width="12.28515625" style="55" customWidth="1"/>
    <col min="2054" max="2054" width="12" style="55" customWidth="1"/>
    <col min="2055" max="2055" width="11.7109375" style="55" customWidth="1"/>
    <col min="2056" max="2056" width="14.28515625" style="55" customWidth="1"/>
    <col min="2057" max="2057" width="12.28515625" style="55" customWidth="1"/>
    <col min="2058" max="2059" width="9" style="55"/>
    <col min="2060" max="2060" width="11.28515625" style="55" bestFit="1" customWidth="1"/>
    <col min="2061" max="2064" width="9" style="55"/>
    <col min="2065" max="2065" width="11.7109375" style="55" bestFit="1" customWidth="1"/>
    <col min="2066" max="2304" width="9" style="55"/>
    <col min="2305" max="2305" width="6" style="55" customWidth="1"/>
    <col min="2306" max="2306" width="11.5703125" style="55" customWidth="1"/>
    <col min="2307" max="2307" width="42.7109375" style="55" customWidth="1"/>
    <col min="2308" max="2308" width="6.5703125" style="55" customWidth="1"/>
    <col min="2309" max="2309" width="12.28515625" style="55" customWidth="1"/>
    <col min="2310" max="2310" width="12" style="55" customWidth="1"/>
    <col min="2311" max="2311" width="11.7109375" style="55" customWidth="1"/>
    <col min="2312" max="2312" width="14.28515625" style="55" customWidth="1"/>
    <col min="2313" max="2313" width="12.28515625" style="55" customWidth="1"/>
    <col min="2314" max="2315" width="9" style="55"/>
    <col min="2316" max="2316" width="11.28515625" style="55" bestFit="1" customWidth="1"/>
    <col min="2317" max="2320" width="9" style="55"/>
    <col min="2321" max="2321" width="11.7109375" style="55" bestFit="1" customWidth="1"/>
    <col min="2322" max="2560" width="9" style="55"/>
    <col min="2561" max="2561" width="6" style="55" customWidth="1"/>
    <col min="2562" max="2562" width="11.5703125" style="55" customWidth="1"/>
    <col min="2563" max="2563" width="42.7109375" style="55" customWidth="1"/>
    <col min="2564" max="2564" width="6.5703125" style="55" customWidth="1"/>
    <col min="2565" max="2565" width="12.28515625" style="55" customWidth="1"/>
    <col min="2566" max="2566" width="12" style="55" customWidth="1"/>
    <col min="2567" max="2567" width="11.7109375" style="55" customWidth="1"/>
    <col min="2568" max="2568" width="14.28515625" style="55" customWidth="1"/>
    <col min="2569" max="2569" width="12.28515625" style="55" customWidth="1"/>
    <col min="2570" max="2571" width="9" style="55"/>
    <col min="2572" max="2572" width="11.28515625" style="55" bestFit="1" customWidth="1"/>
    <col min="2573" max="2576" width="9" style="55"/>
    <col min="2577" max="2577" width="11.7109375" style="55" bestFit="1" customWidth="1"/>
    <col min="2578" max="2816" width="9" style="55"/>
    <col min="2817" max="2817" width="6" style="55" customWidth="1"/>
    <col min="2818" max="2818" width="11.5703125" style="55" customWidth="1"/>
    <col min="2819" max="2819" width="42.7109375" style="55" customWidth="1"/>
    <col min="2820" max="2820" width="6.5703125" style="55" customWidth="1"/>
    <col min="2821" max="2821" width="12.28515625" style="55" customWidth="1"/>
    <col min="2822" max="2822" width="12" style="55" customWidth="1"/>
    <col min="2823" max="2823" width="11.7109375" style="55" customWidth="1"/>
    <col min="2824" max="2824" width="14.28515625" style="55" customWidth="1"/>
    <col min="2825" max="2825" width="12.28515625" style="55" customWidth="1"/>
    <col min="2826" max="2827" width="9" style="55"/>
    <col min="2828" max="2828" width="11.28515625" style="55" bestFit="1" customWidth="1"/>
    <col min="2829" max="2832" width="9" style="55"/>
    <col min="2833" max="2833" width="11.7109375" style="55" bestFit="1" customWidth="1"/>
    <col min="2834" max="3072" width="9" style="55"/>
    <col min="3073" max="3073" width="6" style="55" customWidth="1"/>
    <col min="3074" max="3074" width="11.5703125" style="55" customWidth="1"/>
    <col min="3075" max="3075" width="42.7109375" style="55" customWidth="1"/>
    <col min="3076" max="3076" width="6.5703125" style="55" customWidth="1"/>
    <col min="3077" max="3077" width="12.28515625" style="55" customWidth="1"/>
    <col min="3078" max="3078" width="12" style="55" customWidth="1"/>
    <col min="3079" max="3079" width="11.7109375" style="55" customWidth="1"/>
    <col min="3080" max="3080" width="14.28515625" style="55" customWidth="1"/>
    <col min="3081" max="3081" width="12.28515625" style="55" customWidth="1"/>
    <col min="3082" max="3083" width="9" style="55"/>
    <col min="3084" max="3084" width="11.28515625" style="55" bestFit="1" customWidth="1"/>
    <col min="3085" max="3088" width="9" style="55"/>
    <col min="3089" max="3089" width="11.7109375" style="55" bestFit="1" customWidth="1"/>
    <col min="3090" max="3328" width="9" style="55"/>
    <col min="3329" max="3329" width="6" style="55" customWidth="1"/>
    <col min="3330" max="3330" width="11.5703125" style="55" customWidth="1"/>
    <col min="3331" max="3331" width="42.7109375" style="55" customWidth="1"/>
    <col min="3332" max="3332" width="6.5703125" style="55" customWidth="1"/>
    <col min="3333" max="3333" width="12.28515625" style="55" customWidth="1"/>
    <col min="3334" max="3334" width="12" style="55" customWidth="1"/>
    <col min="3335" max="3335" width="11.7109375" style="55" customWidth="1"/>
    <col min="3336" max="3336" width="14.28515625" style="55" customWidth="1"/>
    <col min="3337" max="3337" width="12.28515625" style="55" customWidth="1"/>
    <col min="3338" max="3339" width="9" style="55"/>
    <col min="3340" max="3340" width="11.28515625" style="55" bestFit="1" customWidth="1"/>
    <col min="3341" max="3344" width="9" style="55"/>
    <col min="3345" max="3345" width="11.7109375" style="55" bestFit="1" customWidth="1"/>
    <col min="3346" max="3584" width="9" style="55"/>
    <col min="3585" max="3585" width="6" style="55" customWidth="1"/>
    <col min="3586" max="3586" width="11.5703125" style="55" customWidth="1"/>
    <col min="3587" max="3587" width="42.7109375" style="55" customWidth="1"/>
    <col min="3588" max="3588" width="6.5703125" style="55" customWidth="1"/>
    <col min="3589" max="3589" width="12.28515625" style="55" customWidth="1"/>
    <col min="3590" max="3590" width="12" style="55" customWidth="1"/>
    <col min="3591" max="3591" width="11.7109375" style="55" customWidth="1"/>
    <col min="3592" max="3592" width="14.28515625" style="55" customWidth="1"/>
    <col min="3593" max="3593" width="12.28515625" style="55" customWidth="1"/>
    <col min="3594" max="3595" width="9" style="55"/>
    <col min="3596" max="3596" width="11.28515625" style="55" bestFit="1" customWidth="1"/>
    <col min="3597" max="3600" width="9" style="55"/>
    <col min="3601" max="3601" width="11.7109375" style="55" bestFit="1" customWidth="1"/>
    <col min="3602" max="3840" width="9" style="55"/>
    <col min="3841" max="3841" width="6" style="55" customWidth="1"/>
    <col min="3842" max="3842" width="11.5703125" style="55" customWidth="1"/>
    <col min="3843" max="3843" width="42.7109375" style="55" customWidth="1"/>
    <col min="3844" max="3844" width="6.5703125" style="55" customWidth="1"/>
    <col min="3845" max="3845" width="12.28515625" style="55" customWidth="1"/>
    <col min="3846" max="3846" width="12" style="55" customWidth="1"/>
    <col min="3847" max="3847" width="11.7109375" style="55" customWidth="1"/>
    <col min="3848" max="3848" width="14.28515625" style="55" customWidth="1"/>
    <col min="3849" max="3849" width="12.28515625" style="55" customWidth="1"/>
    <col min="3850" max="3851" width="9" style="55"/>
    <col min="3852" max="3852" width="11.28515625" style="55" bestFit="1" customWidth="1"/>
    <col min="3853" max="3856" width="9" style="55"/>
    <col min="3857" max="3857" width="11.7109375" style="55" bestFit="1" customWidth="1"/>
    <col min="3858" max="4096" width="9" style="55"/>
    <col min="4097" max="4097" width="6" style="55" customWidth="1"/>
    <col min="4098" max="4098" width="11.5703125" style="55" customWidth="1"/>
    <col min="4099" max="4099" width="42.7109375" style="55" customWidth="1"/>
    <col min="4100" max="4100" width="6.5703125" style="55" customWidth="1"/>
    <col min="4101" max="4101" width="12.28515625" style="55" customWidth="1"/>
    <col min="4102" max="4102" width="12" style="55" customWidth="1"/>
    <col min="4103" max="4103" width="11.7109375" style="55" customWidth="1"/>
    <col min="4104" max="4104" width="14.28515625" style="55" customWidth="1"/>
    <col min="4105" max="4105" width="12.28515625" style="55" customWidth="1"/>
    <col min="4106" max="4107" width="9" style="55"/>
    <col min="4108" max="4108" width="11.28515625" style="55" bestFit="1" customWidth="1"/>
    <col min="4109" max="4112" width="9" style="55"/>
    <col min="4113" max="4113" width="11.7109375" style="55" bestFit="1" customWidth="1"/>
    <col min="4114" max="4352" width="9" style="55"/>
    <col min="4353" max="4353" width="6" style="55" customWidth="1"/>
    <col min="4354" max="4354" width="11.5703125" style="55" customWidth="1"/>
    <col min="4355" max="4355" width="42.7109375" style="55" customWidth="1"/>
    <col min="4356" max="4356" width="6.5703125" style="55" customWidth="1"/>
    <col min="4357" max="4357" width="12.28515625" style="55" customWidth="1"/>
    <col min="4358" max="4358" width="12" style="55" customWidth="1"/>
    <col min="4359" max="4359" width="11.7109375" style="55" customWidth="1"/>
    <col min="4360" max="4360" width="14.28515625" style="55" customWidth="1"/>
    <col min="4361" max="4361" width="12.28515625" style="55" customWidth="1"/>
    <col min="4362" max="4363" width="9" style="55"/>
    <col min="4364" max="4364" width="11.28515625" style="55" bestFit="1" customWidth="1"/>
    <col min="4365" max="4368" width="9" style="55"/>
    <col min="4369" max="4369" width="11.7109375" style="55" bestFit="1" customWidth="1"/>
    <col min="4370" max="4608" width="9" style="55"/>
    <col min="4609" max="4609" width="6" style="55" customWidth="1"/>
    <col min="4610" max="4610" width="11.5703125" style="55" customWidth="1"/>
    <col min="4611" max="4611" width="42.7109375" style="55" customWidth="1"/>
    <col min="4612" max="4612" width="6.5703125" style="55" customWidth="1"/>
    <col min="4613" max="4613" width="12.28515625" style="55" customWidth="1"/>
    <col min="4614" max="4614" width="12" style="55" customWidth="1"/>
    <col min="4615" max="4615" width="11.7109375" style="55" customWidth="1"/>
    <col min="4616" max="4616" width="14.28515625" style="55" customWidth="1"/>
    <col min="4617" max="4617" width="12.28515625" style="55" customWidth="1"/>
    <col min="4618" max="4619" width="9" style="55"/>
    <col min="4620" max="4620" width="11.28515625" style="55" bestFit="1" customWidth="1"/>
    <col min="4621" max="4624" width="9" style="55"/>
    <col min="4625" max="4625" width="11.7109375" style="55" bestFit="1" customWidth="1"/>
    <col min="4626" max="4864" width="9" style="55"/>
    <col min="4865" max="4865" width="6" style="55" customWidth="1"/>
    <col min="4866" max="4866" width="11.5703125" style="55" customWidth="1"/>
    <col min="4867" max="4867" width="42.7109375" style="55" customWidth="1"/>
    <col min="4868" max="4868" width="6.5703125" style="55" customWidth="1"/>
    <col min="4869" max="4869" width="12.28515625" style="55" customWidth="1"/>
    <col min="4870" max="4870" width="12" style="55" customWidth="1"/>
    <col min="4871" max="4871" width="11.7109375" style="55" customWidth="1"/>
    <col min="4872" max="4872" width="14.28515625" style="55" customWidth="1"/>
    <col min="4873" max="4873" width="12.28515625" style="55" customWidth="1"/>
    <col min="4874" max="4875" width="9" style="55"/>
    <col min="4876" max="4876" width="11.28515625" style="55" bestFit="1" customWidth="1"/>
    <col min="4877" max="4880" width="9" style="55"/>
    <col min="4881" max="4881" width="11.7109375" style="55" bestFit="1" customWidth="1"/>
    <col min="4882" max="5120" width="9" style="55"/>
    <col min="5121" max="5121" width="6" style="55" customWidth="1"/>
    <col min="5122" max="5122" width="11.5703125" style="55" customWidth="1"/>
    <col min="5123" max="5123" width="42.7109375" style="55" customWidth="1"/>
    <col min="5124" max="5124" width="6.5703125" style="55" customWidth="1"/>
    <col min="5125" max="5125" width="12.28515625" style="55" customWidth="1"/>
    <col min="5126" max="5126" width="12" style="55" customWidth="1"/>
    <col min="5127" max="5127" width="11.7109375" style="55" customWidth="1"/>
    <col min="5128" max="5128" width="14.28515625" style="55" customWidth="1"/>
    <col min="5129" max="5129" width="12.28515625" style="55" customWidth="1"/>
    <col min="5130" max="5131" width="9" style="55"/>
    <col min="5132" max="5132" width="11.28515625" style="55" bestFit="1" customWidth="1"/>
    <col min="5133" max="5136" width="9" style="55"/>
    <col min="5137" max="5137" width="11.7109375" style="55" bestFit="1" customWidth="1"/>
    <col min="5138" max="5376" width="9" style="55"/>
    <col min="5377" max="5377" width="6" style="55" customWidth="1"/>
    <col min="5378" max="5378" width="11.5703125" style="55" customWidth="1"/>
    <col min="5379" max="5379" width="42.7109375" style="55" customWidth="1"/>
    <col min="5380" max="5380" width="6.5703125" style="55" customWidth="1"/>
    <col min="5381" max="5381" width="12.28515625" style="55" customWidth="1"/>
    <col min="5382" max="5382" width="12" style="55" customWidth="1"/>
    <col min="5383" max="5383" width="11.7109375" style="55" customWidth="1"/>
    <col min="5384" max="5384" width="14.28515625" style="55" customWidth="1"/>
    <col min="5385" max="5385" width="12.28515625" style="55" customWidth="1"/>
    <col min="5386" max="5387" width="9" style="55"/>
    <col min="5388" max="5388" width="11.28515625" style="55" bestFit="1" customWidth="1"/>
    <col min="5389" max="5392" width="9" style="55"/>
    <col min="5393" max="5393" width="11.7109375" style="55" bestFit="1" customWidth="1"/>
    <col min="5394" max="5632" width="9" style="55"/>
    <col min="5633" max="5633" width="6" style="55" customWidth="1"/>
    <col min="5634" max="5634" width="11.5703125" style="55" customWidth="1"/>
    <col min="5635" max="5635" width="42.7109375" style="55" customWidth="1"/>
    <col min="5636" max="5636" width="6.5703125" style="55" customWidth="1"/>
    <col min="5637" max="5637" width="12.28515625" style="55" customWidth="1"/>
    <col min="5638" max="5638" width="12" style="55" customWidth="1"/>
    <col min="5639" max="5639" width="11.7109375" style="55" customWidth="1"/>
    <col min="5640" max="5640" width="14.28515625" style="55" customWidth="1"/>
    <col min="5641" max="5641" width="12.28515625" style="55" customWidth="1"/>
    <col min="5642" max="5643" width="9" style="55"/>
    <col min="5644" max="5644" width="11.28515625" style="55" bestFit="1" customWidth="1"/>
    <col min="5645" max="5648" width="9" style="55"/>
    <col min="5649" max="5649" width="11.7109375" style="55" bestFit="1" customWidth="1"/>
    <col min="5650" max="5888" width="9" style="55"/>
    <col min="5889" max="5889" width="6" style="55" customWidth="1"/>
    <col min="5890" max="5890" width="11.5703125" style="55" customWidth="1"/>
    <col min="5891" max="5891" width="42.7109375" style="55" customWidth="1"/>
    <col min="5892" max="5892" width="6.5703125" style="55" customWidth="1"/>
    <col min="5893" max="5893" width="12.28515625" style="55" customWidth="1"/>
    <col min="5894" max="5894" width="12" style="55" customWidth="1"/>
    <col min="5895" max="5895" width="11.7109375" style="55" customWidth="1"/>
    <col min="5896" max="5896" width="14.28515625" style="55" customWidth="1"/>
    <col min="5897" max="5897" width="12.28515625" style="55" customWidth="1"/>
    <col min="5898" max="5899" width="9" style="55"/>
    <col min="5900" max="5900" width="11.28515625" style="55" bestFit="1" customWidth="1"/>
    <col min="5901" max="5904" width="9" style="55"/>
    <col min="5905" max="5905" width="11.7109375" style="55" bestFit="1" customWidth="1"/>
    <col min="5906" max="6144" width="9" style="55"/>
    <col min="6145" max="6145" width="6" style="55" customWidth="1"/>
    <col min="6146" max="6146" width="11.5703125" style="55" customWidth="1"/>
    <col min="6147" max="6147" width="42.7109375" style="55" customWidth="1"/>
    <col min="6148" max="6148" width="6.5703125" style="55" customWidth="1"/>
    <col min="6149" max="6149" width="12.28515625" style="55" customWidth="1"/>
    <col min="6150" max="6150" width="12" style="55" customWidth="1"/>
    <col min="6151" max="6151" width="11.7109375" style="55" customWidth="1"/>
    <col min="6152" max="6152" width="14.28515625" style="55" customWidth="1"/>
    <col min="6153" max="6153" width="12.28515625" style="55" customWidth="1"/>
    <col min="6154" max="6155" width="9" style="55"/>
    <col min="6156" max="6156" width="11.28515625" style="55" bestFit="1" customWidth="1"/>
    <col min="6157" max="6160" width="9" style="55"/>
    <col min="6161" max="6161" width="11.7109375" style="55" bestFit="1" customWidth="1"/>
    <col min="6162" max="6400" width="9" style="55"/>
    <col min="6401" max="6401" width="6" style="55" customWidth="1"/>
    <col min="6402" max="6402" width="11.5703125" style="55" customWidth="1"/>
    <col min="6403" max="6403" width="42.7109375" style="55" customWidth="1"/>
    <col min="6404" max="6404" width="6.5703125" style="55" customWidth="1"/>
    <col min="6405" max="6405" width="12.28515625" style="55" customWidth="1"/>
    <col min="6406" max="6406" width="12" style="55" customWidth="1"/>
    <col min="6407" max="6407" width="11.7109375" style="55" customWidth="1"/>
    <col min="6408" max="6408" width="14.28515625" style="55" customWidth="1"/>
    <col min="6409" max="6409" width="12.28515625" style="55" customWidth="1"/>
    <col min="6410" max="6411" width="9" style="55"/>
    <col min="6412" max="6412" width="11.28515625" style="55" bestFit="1" customWidth="1"/>
    <col min="6413" max="6416" width="9" style="55"/>
    <col min="6417" max="6417" width="11.7109375" style="55" bestFit="1" customWidth="1"/>
    <col min="6418" max="6656" width="9" style="55"/>
    <col min="6657" max="6657" width="6" style="55" customWidth="1"/>
    <col min="6658" max="6658" width="11.5703125" style="55" customWidth="1"/>
    <col min="6659" max="6659" width="42.7109375" style="55" customWidth="1"/>
    <col min="6660" max="6660" width="6.5703125" style="55" customWidth="1"/>
    <col min="6661" max="6661" width="12.28515625" style="55" customWidth="1"/>
    <col min="6662" max="6662" width="12" style="55" customWidth="1"/>
    <col min="6663" max="6663" width="11.7109375" style="55" customWidth="1"/>
    <col min="6664" max="6664" width="14.28515625" style="55" customWidth="1"/>
    <col min="6665" max="6665" width="12.28515625" style="55" customWidth="1"/>
    <col min="6666" max="6667" width="9" style="55"/>
    <col min="6668" max="6668" width="11.28515625" style="55" bestFit="1" customWidth="1"/>
    <col min="6669" max="6672" width="9" style="55"/>
    <col min="6673" max="6673" width="11.7109375" style="55" bestFit="1" customWidth="1"/>
    <col min="6674" max="6912" width="9" style="55"/>
    <col min="6913" max="6913" width="6" style="55" customWidth="1"/>
    <col min="6914" max="6914" width="11.5703125" style="55" customWidth="1"/>
    <col min="6915" max="6915" width="42.7109375" style="55" customWidth="1"/>
    <col min="6916" max="6916" width="6.5703125" style="55" customWidth="1"/>
    <col min="6917" max="6917" width="12.28515625" style="55" customWidth="1"/>
    <col min="6918" max="6918" width="12" style="55" customWidth="1"/>
    <col min="6919" max="6919" width="11.7109375" style="55" customWidth="1"/>
    <col min="6920" max="6920" width="14.28515625" style="55" customWidth="1"/>
    <col min="6921" max="6921" width="12.28515625" style="55" customWidth="1"/>
    <col min="6922" max="6923" width="9" style="55"/>
    <col min="6924" max="6924" width="11.28515625" style="55" bestFit="1" customWidth="1"/>
    <col min="6925" max="6928" width="9" style="55"/>
    <col min="6929" max="6929" width="11.7109375" style="55" bestFit="1" customWidth="1"/>
    <col min="6930" max="7168" width="9" style="55"/>
    <col min="7169" max="7169" width="6" style="55" customWidth="1"/>
    <col min="7170" max="7170" width="11.5703125" style="55" customWidth="1"/>
    <col min="7171" max="7171" width="42.7109375" style="55" customWidth="1"/>
    <col min="7172" max="7172" width="6.5703125" style="55" customWidth="1"/>
    <col min="7173" max="7173" width="12.28515625" style="55" customWidth="1"/>
    <col min="7174" max="7174" width="12" style="55" customWidth="1"/>
    <col min="7175" max="7175" width="11.7109375" style="55" customWidth="1"/>
    <col min="7176" max="7176" width="14.28515625" style="55" customWidth="1"/>
    <col min="7177" max="7177" width="12.28515625" style="55" customWidth="1"/>
    <col min="7178" max="7179" width="9" style="55"/>
    <col min="7180" max="7180" width="11.28515625" style="55" bestFit="1" customWidth="1"/>
    <col min="7181" max="7184" width="9" style="55"/>
    <col min="7185" max="7185" width="11.7109375" style="55" bestFit="1" customWidth="1"/>
    <col min="7186" max="7424" width="9" style="55"/>
    <col min="7425" max="7425" width="6" style="55" customWidth="1"/>
    <col min="7426" max="7426" width="11.5703125" style="55" customWidth="1"/>
    <col min="7427" max="7427" width="42.7109375" style="55" customWidth="1"/>
    <col min="7428" max="7428" width="6.5703125" style="55" customWidth="1"/>
    <col min="7429" max="7429" width="12.28515625" style="55" customWidth="1"/>
    <col min="7430" max="7430" width="12" style="55" customWidth="1"/>
    <col min="7431" max="7431" width="11.7109375" style="55" customWidth="1"/>
    <col min="7432" max="7432" width="14.28515625" style="55" customWidth="1"/>
    <col min="7433" max="7433" width="12.28515625" style="55" customWidth="1"/>
    <col min="7434" max="7435" width="9" style="55"/>
    <col min="7436" max="7436" width="11.28515625" style="55" bestFit="1" customWidth="1"/>
    <col min="7437" max="7440" width="9" style="55"/>
    <col min="7441" max="7441" width="11.7109375" style="55" bestFit="1" customWidth="1"/>
    <col min="7442" max="7680" width="9" style="55"/>
    <col min="7681" max="7681" width="6" style="55" customWidth="1"/>
    <col min="7682" max="7682" width="11.5703125" style="55" customWidth="1"/>
    <col min="7683" max="7683" width="42.7109375" style="55" customWidth="1"/>
    <col min="7684" max="7684" width="6.5703125" style="55" customWidth="1"/>
    <col min="7685" max="7685" width="12.28515625" style="55" customWidth="1"/>
    <col min="7686" max="7686" width="12" style="55" customWidth="1"/>
    <col min="7687" max="7687" width="11.7109375" style="55" customWidth="1"/>
    <col min="7688" max="7688" width="14.28515625" style="55" customWidth="1"/>
    <col min="7689" max="7689" width="12.28515625" style="55" customWidth="1"/>
    <col min="7690" max="7691" width="9" style="55"/>
    <col min="7692" max="7692" width="11.28515625" style="55" bestFit="1" customWidth="1"/>
    <col min="7693" max="7696" width="9" style="55"/>
    <col min="7697" max="7697" width="11.7109375" style="55" bestFit="1" customWidth="1"/>
    <col min="7698" max="7936" width="9" style="55"/>
    <col min="7937" max="7937" width="6" style="55" customWidth="1"/>
    <col min="7938" max="7938" width="11.5703125" style="55" customWidth="1"/>
    <col min="7939" max="7939" width="42.7109375" style="55" customWidth="1"/>
    <col min="7940" max="7940" width="6.5703125" style="55" customWidth="1"/>
    <col min="7941" max="7941" width="12.28515625" style="55" customWidth="1"/>
    <col min="7942" max="7942" width="12" style="55" customWidth="1"/>
    <col min="7943" max="7943" width="11.7109375" style="55" customWidth="1"/>
    <col min="7944" max="7944" width="14.28515625" style="55" customWidth="1"/>
    <col min="7945" max="7945" width="12.28515625" style="55" customWidth="1"/>
    <col min="7946" max="7947" width="9" style="55"/>
    <col min="7948" max="7948" width="11.28515625" style="55" bestFit="1" customWidth="1"/>
    <col min="7949" max="7952" width="9" style="55"/>
    <col min="7953" max="7953" width="11.7109375" style="55" bestFit="1" customWidth="1"/>
    <col min="7954" max="8192" width="9" style="55"/>
    <col min="8193" max="8193" width="6" style="55" customWidth="1"/>
    <col min="8194" max="8194" width="11.5703125" style="55" customWidth="1"/>
    <col min="8195" max="8195" width="42.7109375" style="55" customWidth="1"/>
    <col min="8196" max="8196" width="6.5703125" style="55" customWidth="1"/>
    <col min="8197" max="8197" width="12.28515625" style="55" customWidth="1"/>
    <col min="8198" max="8198" width="12" style="55" customWidth="1"/>
    <col min="8199" max="8199" width="11.7109375" style="55" customWidth="1"/>
    <col min="8200" max="8200" width="14.28515625" style="55" customWidth="1"/>
    <col min="8201" max="8201" width="12.28515625" style="55" customWidth="1"/>
    <col min="8202" max="8203" width="9" style="55"/>
    <col min="8204" max="8204" width="11.28515625" style="55" bestFit="1" customWidth="1"/>
    <col min="8205" max="8208" width="9" style="55"/>
    <col min="8209" max="8209" width="11.7109375" style="55" bestFit="1" customWidth="1"/>
    <col min="8210" max="8448" width="9" style="55"/>
    <col min="8449" max="8449" width="6" style="55" customWidth="1"/>
    <col min="8450" max="8450" width="11.5703125" style="55" customWidth="1"/>
    <col min="8451" max="8451" width="42.7109375" style="55" customWidth="1"/>
    <col min="8452" max="8452" width="6.5703125" style="55" customWidth="1"/>
    <col min="8453" max="8453" width="12.28515625" style="55" customWidth="1"/>
    <col min="8454" max="8454" width="12" style="55" customWidth="1"/>
    <col min="8455" max="8455" width="11.7109375" style="55" customWidth="1"/>
    <col min="8456" max="8456" width="14.28515625" style="55" customWidth="1"/>
    <col min="8457" max="8457" width="12.28515625" style="55" customWidth="1"/>
    <col min="8458" max="8459" width="9" style="55"/>
    <col min="8460" max="8460" width="11.28515625" style="55" bestFit="1" customWidth="1"/>
    <col min="8461" max="8464" width="9" style="55"/>
    <col min="8465" max="8465" width="11.7109375" style="55" bestFit="1" customWidth="1"/>
    <col min="8466" max="8704" width="9" style="55"/>
    <col min="8705" max="8705" width="6" style="55" customWidth="1"/>
    <col min="8706" max="8706" width="11.5703125" style="55" customWidth="1"/>
    <col min="8707" max="8707" width="42.7109375" style="55" customWidth="1"/>
    <col min="8708" max="8708" width="6.5703125" style="55" customWidth="1"/>
    <col min="8709" max="8709" width="12.28515625" style="55" customWidth="1"/>
    <col min="8710" max="8710" width="12" style="55" customWidth="1"/>
    <col min="8711" max="8711" width="11.7109375" style="55" customWidth="1"/>
    <col min="8712" max="8712" width="14.28515625" style="55" customWidth="1"/>
    <col min="8713" max="8713" width="12.28515625" style="55" customWidth="1"/>
    <col min="8714" max="8715" width="9" style="55"/>
    <col min="8716" max="8716" width="11.28515625" style="55" bestFit="1" customWidth="1"/>
    <col min="8717" max="8720" width="9" style="55"/>
    <col min="8721" max="8721" width="11.7109375" style="55" bestFit="1" customWidth="1"/>
    <col min="8722" max="8960" width="9" style="55"/>
    <col min="8961" max="8961" width="6" style="55" customWidth="1"/>
    <col min="8962" max="8962" width="11.5703125" style="55" customWidth="1"/>
    <col min="8963" max="8963" width="42.7109375" style="55" customWidth="1"/>
    <col min="8964" max="8964" width="6.5703125" style="55" customWidth="1"/>
    <col min="8965" max="8965" width="12.28515625" style="55" customWidth="1"/>
    <col min="8966" max="8966" width="12" style="55" customWidth="1"/>
    <col min="8967" max="8967" width="11.7109375" style="55" customWidth="1"/>
    <col min="8968" max="8968" width="14.28515625" style="55" customWidth="1"/>
    <col min="8969" max="8969" width="12.28515625" style="55" customWidth="1"/>
    <col min="8970" max="8971" width="9" style="55"/>
    <col min="8972" max="8972" width="11.28515625" style="55" bestFit="1" customWidth="1"/>
    <col min="8973" max="8976" width="9" style="55"/>
    <col min="8977" max="8977" width="11.7109375" style="55" bestFit="1" customWidth="1"/>
    <col min="8978" max="9216" width="9" style="55"/>
    <col min="9217" max="9217" width="6" style="55" customWidth="1"/>
    <col min="9218" max="9218" width="11.5703125" style="55" customWidth="1"/>
    <col min="9219" max="9219" width="42.7109375" style="55" customWidth="1"/>
    <col min="9220" max="9220" width="6.5703125" style="55" customWidth="1"/>
    <col min="9221" max="9221" width="12.28515625" style="55" customWidth="1"/>
    <col min="9222" max="9222" width="12" style="55" customWidth="1"/>
    <col min="9223" max="9223" width="11.7109375" style="55" customWidth="1"/>
    <col min="9224" max="9224" width="14.28515625" style="55" customWidth="1"/>
    <col min="9225" max="9225" width="12.28515625" style="55" customWidth="1"/>
    <col min="9226" max="9227" width="9" style="55"/>
    <col min="9228" max="9228" width="11.28515625" style="55" bestFit="1" customWidth="1"/>
    <col min="9229" max="9232" width="9" style="55"/>
    <col min="9233" max="9233" width="11.7109375" style="55" bestFit="1" customWidth="1"/>
    <col min="9234" max="9472" width="9" style="55"/>
    <col min="9473" max="9473" width="6" style="55" customWidth="1"/>
    <col min="9474" max="9474" width="11.5703125" style="55" customWidth="1"/>
    <col min="9475" max="9475" width="42.7109375" style="55" customWidth="1"/>
    <col min="9476" max="9476" width="6.5703125" style="55" customWidth="1"/>
    <col min="9477" max="9477" width="12.28515625" style="55" customWidth="1"/>
    <col min="9478" max="9478" width="12" style="55" customWidth="1"/>
    <col min="9479" max="9479" width="11.7109375" style="55" customWidth="1"/>
    <col min="9480" max="9480" width="14.28515625" style="55" customWidth="1"/>
    <col min="9481" max="9481" width="12.28515625" style="55" customWidth="1"/>
    <col min="9482" max="9483" width="9" style="55"/>
    <col min="9484" max="9484" width="11.28515625" style="55" bestFit="1" customWidth="1"/>
    <col min="9485" max="9488" width="9" style="55"/>
    <col min="9489" max="9489" width="11.7109375" style="55" bestFit="1" customWidth="1"/>
    <col min="9490" max="9728" width="9" style="55"/>
    <col min="9729" max="9729" width="6" style="55" customWidth="1"/>
    <col min="9730" max="9730" width="11.5703125" style="55" customWidth="1"/>
    <col min="9731" max="9731" width="42.7109375" style="55" customWidth="1"/>
    <col min="9732" max="9732" width="6.5703125" style="55" customWidth="1"/>
    <col min="9733" max="9733" width="12.28515625" style="55" customWidth="1"/>
    <col min="9734" max="9734" width="12" style="55" customWidth="1"/>
    <col min="9735" max="9735" width="11.7109375" style="55" customWidth="1"/>
    <col min="9736" max="9736" width="14.28515625" style="55" customWidth="1"/>
    <col min="9737" max="9737" width="12.28515625" style="55" customWidth="1"/>
    <col min="9738" max="9739" width="9" style="55"/>
    <col min="9740" max="9740" width="11.28515625" style="55" bestFit="1" customWidth="1"/>
    <col min="9741" max="9744" width="9" style="55"/>
    <col min="9745" max="9745" width="11.7109375" style="55" bestFit="1" customWidth="1"/>
    <col min="9746" max="9984" width="9" style="55"/>
    <col min="9985" max="9985" width="6" style="55" customWidth="1"/>
    <col min="9986" max="9986" width="11.5703125" style="55" customWidth="1"/>
    <col min="9987" max="9987" width="42.7109375" style="55" customWidth="1"/>
    <col min="9988" max="9988" width="6.5703125" style="55" customWidth="1"/>
    <col min="9989" max="9989" width="12.28515625" style="55" customWidth="1"/>
    <col min="9990" max="9990" width="12" style="55" customWidth="1"/>
    <col min="9991" max="9991" width="11.7109375" style="55" customWidth="1"/>
    <col min="9992" max="9992" width="14.28515625" style="55" customWidth="1"/>
    <col min="9993" max="9993" width="12.28515625" style="55" customWidth="1"/>
    <col min="9994" max="9995" width="9" style="55"/>
    <col min="9996" max="9996" width="11.28515625" style="55" bestFit="1" customWidth="1"/>
    <col min="9997" max="10000" width="9" style="55"/>
    <col min="10001" max="10001" width="11.7109375" style="55" bestFit="1" customWidth="1"/>
    <col min="10002" max="10240" width="9" style="55"/>
    <col min="10241" max="10241" width="6" style="55" customWidth="1"/>
    <col min="10242" max="10242" width="11.5703125" style="55" customWidth="1"/>
    <col min="10243" max="10243" width="42.7109375" style="55" customWidth="1"/>
    <col min="10244" max="10244" width="6.5703125" style="55" customWidth="1"/>
    <col min="10245" max="10245" width="12.28515625" style="55" customWidth="1"/>
    <col min="10246" max="10246" width="12" style="55" customWidth="1"/>
    <col min="10247" max="10247" width="11.7109375" style="55" customWidth="1"/>
    <col min="10248" max="10248" width="14.28515625" style="55" customWidth="1"/>
    <col min="10249" max="10249" width="12.28515625" style="55" customWidth="1"/>
    <col min="10250" max="10251" width="9" style="55"/>
    <col min="10252" max="10252" width="11.28515625" style="55" bestFit="1" customWidth="1"/>
    <col min="10253" max="10256" width="9" style="55"/>
    <col min="10257" max="10257" width="11.7109375" style="55" bestFit="1" customWidth="1"/>
    <col min="10258" max="10496" width="9" style="55"/>
    <col min="10497" max="10497" width="6" style="55" customWidth="1"/>
    <col min="10498" max="10498" width="11.5703125" style="55" customWidth="1"/>
    <col min="10499" max="10499" width="42.7109375" style="55" customWidth="1"/>
    <col min="10500" max="10500" width="6.5703125" style="55" customWidth="1"/>
    <col min="10501" max="10501" width="12.28515625" style="55" customWidth="1"/>
    <col min="10502" max="10502" width="12" style="55" customWidth="1"/>
    <col min="10503" max="10503" width="11.7109375" style="55" customWidth="1"/>
    <col min="10504" max="10504" width="14.28515625" style="55" customWidth="1"/>
    <col min="10505" max="10505" width="12.28515625" style="55" customWidth="1"/>
    <col min="10506" max="10507" width="9" style="55"/>
    <col min="10508" max="10508" width="11.28515625" style="55" bestFit="1" customWidth="1"/>
    <col min="10509" max="10512" width="9" style="55"/>
    <col min="10513" max="10513" width="11.7109375" style="55" bestFit="1" customWidth="1"/>
    <col min="10514" max="10752" width="9" style="55"/>
    <col min="10753" max="10753" width="6" style="55" customWidth="1"/>
    <col min="10754" max="10754" width="11.5703125" style="55" customWidth="1"/>
    <col min="10755" max="10755" width="42.7109375" style="55" customWidth="1"/>
    <col min="10756" max="10756" width="6.5703125" style="55" customWidth="1"/>
    <col min="10757" max="10757" width="12.28515625" style="55" customWidth="1"/>
    <col min="10758" max="10758" width="12" style="55" customWidth="1"/>
    <col min="10759" max="10759" width="11.7109375" style="55" customWidth="1"/>
    <col min="10760" max="10760" width="14.28515625" style="55" customWidth="1"/>
    <col min="10761" max="10761" width="12.28515625" style="55" customWidth="1"/>
    <col min="10762" max="10763" width="9" style="55"/>
    <col min="10764" max="10764" width="11.28515625" style="55" bestFit="1" customWidth="1"/>
    <col min="10765" max="10768" width="9" style="55"/>
    <col min="10769" max="10769" width="11.7109375" style="55" bestFit="1" customWidth="1"/>
    <col min="10770" max="11008" width="9" style="55"/>
    <col min="11009" max="11009" width="6" style="55" customWidth="1"/>
    <col min="11010" max="11010" width="11.5703125" style="55" customWidth="1"/>
    <col min="11011" max="11011" width="42.7109375" style="55" customWidth="1"/>
    <col min="11012" max="11012" width="6.5703125" style="55" customWidth="1"/>
    <col min="11013" max="11013" width="12.28515625" style="55" customWidth="1"/>
    <col min="11014" max="11014" width="12" style="55" customWidth="1"/>
    <col min="11015" max="11015" width="11.7109375" style="55" customWidth="1"/>
    <col min="11016" max="11016" width="14.28515625" style="55" customWidth="1"/>
    <col min="11017" max="11017" width="12.28515625" style="55" customWidth="1"/>
    <col min="11018" max="11019" width="9" style="55"/>
    <col min="11020" max="11020" width="11.28515625" style="55" bestFit="1" customWidth="1"/>
    <col min="11021" max="11024" width="9" style="55"/>
    <col min="11025" max="11025" width="11.7109375" style="55" bestFit="1" customWidth="1"/>
    <col min="11026" max="11264" width="9" style="55"/>
    <col min="11265" max="11265" width="6" style="55" customWidth="1"/>
    <col min="11266" max="11266" width="11.5703125" style="55" customWidth="1"/>
    <col min="11267" max="11267" width="42.7109375" style="55" customWidth="1"/>
    <col min="11268" max="11268" width="6.5703125" style="55" customWidth="1"/>
    <col min="11269" max="11269" width="12.28515625" style="55" customWidth="1"/>
    <col min="11270" max="11270" width="12" style="55" customWidth="1"/>
    <col min="11271" max="11271" width="11.7109375" style="55" customWidth="1"/>
    <col min="11272" max="11272" width="14.28515625" style="55" customWidth="1"/>
    <col min="11273" max="11273" width="12.28515625" style="55" customWidth="1"/>
    <col min="11274" max="11275" width="9" style="55"/>
    <col min="11276" max="11276" width="11.28515625" style="55" bestFit="1" customWidth="1"/>
    <col min="11277" max="11280" width="9" style="55"/>
    <col min="11281" max="11281" width="11.7109375" style="55" bestFit="1" customWidth="1"/>
    <col min="11282" max="11520" width="9" style="55"/>
    <col min="11521" max="11521" width="6" style="55" customWidth="1"/>
    <col min="11522" max="11522" width="11.5703125" style="55" customWidth="1"/>
    <col min="11523" max="11523" width="42.7109375" style="55" customWidth="1"/>
    <col min="11524" max="11524" width="6.5703125" style="55" customWidth="1"/>
    <col min="11525" max="11525" width="12.28515625" style="55" customWidth="1"/>
    <col min="11526" max="11526" width="12" style="55" customWidth="1"/>
    <col min="11527" max="11527" width="11.7109375" style="55" customWidth="1"/>
    <col min="11528" max="11528" width="14.28515625" style="55" customWidth="1"/>
    <col min="11529" max="11529" width="12.28515625" style="55" customWidth="1"/>
    <col min="11530" max="11531" width="9" style="55"/>
    <col min="11532" max="11532" width="11.28515625" style="55" bestFit="1" customWidth="1"/>
    <col min="11533" max="11536" width="9" style="55"/>
    <col min="11537" max="11537" width="11.7109375" style="55" bestFit="1" customWidth="1"/>
    <col min="11538" max="11776" width="9" style="55"/>
    <col min="11777" max="11777" width="6" style="55" customWidth="1"/>
    <col min="11778" max="11778" width="11.5703125" style="55" customWidth="1"/>
    <col min="11779" max="11779" width="42.7109375" style="55" customWidth="1"/>
    <col min="11780" max="11780" width="6.5703125" style="55" customWidth="1"/>
    <col min="11781" max="11781" width="12.28515625" style="55" customWidth="1"/>
    <col min="11782" max="11782" width="12" style="55" customWidth="1"/>
    <col min="11783" max="11783" width="11.7109375" style="55" customWidth="1"/>
    <col min="11784" max="11784" width="14.28515625" style="55" customWidth="1"/>
    <col min="11785" max="11785" width="12.28515625" style="55" customWidth="1"/>
    <col min="11786" max="11787" width="9" style="55"/>
    <col min="11788" max="11788" width="11.28515625" style="55" bestFit="1" customWidth="1"/>
    <col min="11789" max="11792" width="9" style="55"/>
    <col min="11793" max="11793" width="11.7109375" style="55" bestFit="1" customWidth="1"/>
    <col min="11794" max="12032" width="9" style="55"/>
    <col min="12033" max="12033" width="6" style="55" customWidth="1"/>
    <col min="12034" max="12034" width="11.5703125" style="55" customWidth="1"/>
    <col min="12035" max="12035" width="42.7109375" style="55" customWidth="1"/>
    <col min="12036" max="12036" width="6.5703125" style="55" customWidth="1"/>
    <col min="12037" max="12037" width="12.28515625" style="55" customWidth="1"/>
    <col min="12038" max="12038" width="12" style="55" customWidth="1"/>
    <col min="12039" max="12039" width="11.7109375" style="55" customWidth="1"/>
    <col min="12040" max="12040" width="14.28515625" style="55" customWidth="1"/>
    <col min="12041" max="12041" width="12.28515625" style="55" customWidth="1"/>
    <col min="12042" max="12043" width="9" style="55"/>
    <col min="12044" max="12044" width="11.28515625" style="55" bestFit="1" customWidth="1"/>
    <col min="12045" max="12048" width="9" style="55"/>
    <col min="12049" max="12049" width="11.7109375" style="55" bestFit="1" customWidth="1"/>
    <col min="12050" max="12288" width="9" style="55"/>
    <col min="12289" max="12289" width="6" style="55" customWidth="1"/>
    <col min="12290" max="12290" width="11.5703125" style="55" customWidth="1"/>
    <col min="12291" max="12291" width="42.7109375" style="55" customWidth="1"/>
    <col min="12292" max="12292" width="6.5703125" style="55" customWidth="1"/>
    <col min="12293" max="12293" width="12.28515625" style="55" customWidth="1"/>
    <col min="12294" max="12294" width="12" style="55" customWidth="1"/>
    <col min="12295" max="12295" width="11.7109375" style="55" customWidth="1"/>
    <col min="12296" max="12296" width="14.28515625" style="55" customWidth="1"/>
    <col min="12297" max="12297" width="12.28515625" style="55" customWidth="1"/>
    <col min="12298" max="12299" width="9" style="55"/>
    <col min="12300" max="12300" width="11.28515625" style="55" bestFit="1" customWidth="1"/>
    <col min="12301" max="12304" width="9" style="55"/>
    <col min="12305" max="12305" width="11.7109375" style="55" bestFit="1" customWidth="1"/>
    <col min="12306" max="12544" width="9" style="55"/>
    <col min="12545" max="12545" width="6" style="55" customWidth="1"/>
    <col min="12546" max="12546" width="11.5703125" style="55" customWidth="1"/>
    <col min="12547" max="12547" width="42.7109375" style="55" customWidth="1"/>
    <col min="12548" max="12548" width="6.5703125" style="55" customWidth="1"/>
    <col min="12549" max="12549" width="12.28515625" style="55" customWidth="1"/>
    <col min="12550" max="12550" width="12" style="55" customWidth="1"/>
    <col min="12551" max="12551" width="11.7109375" style="55" customWidth="1"/>
    <col min="12552" max="12552" width="14.28515625" style="55" customWidth="1"/>
    <col min="12553" max="12553" width="12.28515625" style="55" customWidth="1"/>
    <col min="12554" max="12555" width="9" style="55"/>
    <col min="12556" max="12556" width="11.28515625" style="55" bestFit="1" customWidth="1"/>
    <col min="12557" max="12560" width="9" style="55"/>
    <col min="12561" max="12561" width="11.7109375" style="55" bestFit="1" customWidth="1"/>
    <col min="12562" max="12800" width="9" style="55"/>
    <col min="12801" max="12801" width="6" style="55" customWidth="1"/>
    <col min="12802" max="12802" width="11.5703125" style="55" customWidth="1"/>
    <col min="12803" max="12803" width="42.7109375" style="55" customWidth="1"/>
    <col min="12804" max="12804" width="6.5703125" style="55" customWidth="1"/>
    <col min="12805" max="12805" width="12.28515625" style="55" customWidth="1"/>
    <col min="12806" max="12806" width="12" style="55" customWidth="1"/>
    <col min="12807" max="12807" width="11.7109375" style="55" customWidth="1"/>
    <col min="12808" max="12808" width="14.28515625" style="55" customWidth="1"/>
    <col min="12809" max="12809" width="12.28515625" style="55" customWidth="1"/>
    <col min="12810" max="12811" width="9" style="55"/>
    <col min="12812" max="12812" width="11.28515625" style="55" bestFit="1" customWidth="1"/>
    <col min="12813" max="12816" width="9" style="55"/>
    <col min="12817" max="12817" width="11.7109375" style="55" bestFit="1" customWidth="1"/>
    <col min="12818" max="13056" width="9" style="55"/>
    <col min="13057" max="13057" width="6" style="55" customWidth="1"/>
    <col min="13058" max="13058" width="11.5703125" style="55" customWidth="1"/>
    <col min="13059" max="13059" width="42.7109375" style="55" customWidth="1"/>
    <col min="13060" max="13060" width="6.5703125" style="55" customWidth="1"/>
    <col min="13061" max="13061" width="12.28515625" style="55" customWidth="1"/>
    <col min="13062" max="13062" width="12" style="55" customWidth="1"/>
    <col min="13063" max="13063" width="11.7109375" style="55" customWidth="1"/>
    <col min="13064" max="13064" width="14.28515625" style="55" customWidth="1"/>
    <col min="13065" max="13065" width="12.28515625" style="55" customWidth="1"/>
    <col min="13066" max="13067" width="9" style="55"/>
    <col min="13068" max="13068" width="11.28515625" style="55" bestFit="1" customWidth="1"/>
    <col min="13069" max="13072" width="9" style="55"/>
    <col min="13073" max="13073" width="11.7109375" style="55" bestFit="1" customWidth="1"/>
    <col min="13074" max="13312" width="9" style="55"/>
    <col min="13313" max="13313" width="6" style="55" customWidth="1"/>
    <col min="13314" max="13314" width="11.5703125" style="55" customWidth="1"/>
    <col min="13315" max="13315" width="42.7109375" style="55" customWidth="1"/>
    <col min="13316" max="13316" width="6.5703125" style="55" customWidth="1"/>
    <col min="13317" max="13317" width="12.28515625" style="55" customWidth="1"/>
    <col min="13318" max="13318" width="12" style="55" customWidth="1"/>
    <col min="13319" max="13319" width="11.7109375" style="55" customWidth="1"/>
    <col min="13320" max="13320" width="14.28515625" style="55" customWidth="1"/>
    <col min="13321" max="13321" width="12.28515625" style="55" customWidth="1"/>
    <col min="13322" max="13323" width="9" style="55"/>
    <col min="13324" max="13324" width="11.28515625" style="55" bestFit="1" customWidth="1"/>
    <col min="13325" max="13328" width="9" style="55"/>
    <col min="13329" max="13329" width="11.7109375" style="55" bestFit="1" customWidth="1"/>
    <col min="13330" max="13568" width="9" style="55"/>
    <col min="13569" max="13569" width="6" style="55" customWidth="1"/>
    <col min="13570" max="13570" width="11.5703125" style="55" customWidth="1"/>
    <col min="13571" max="13571" width="42.7109375" style="55" customWidth="1"/>
    <col min="13572" max="13572" width="6.5703125" style="55" customWidth="1"/>
    <col min="13573" max="13573" width="12.28515625" style="55" customWidth="1"/>
    <col min="13574" max="13574" width="12" style="55" customWidth="1"/>
    <col min="13575" max="13575" width="11.7109375" style="55" customWidth="1"/>
    <col min="13576" max="13576" width="14.28515625" style="55" customWidth="1"/>
    <col min="13577" max="13577" width="12.28515625" style="55" customWidth="1"/>
    <col min="13578" max="13579" width="9" style="55"/>
    <col min="13580" max="13580" width="11.28515625" style="55" bestFit="1" customWidth="1"/>
    <col min="13581" max="13584" width="9" style="55"/>
    <col min="13585" max="13585" width="11.7109375" style="55" bestFit="1" customWidth="1"/>
    <col min="13586" max="13824" width="9" style="55"/>
    <col min="13825" max="13825" width="6" style="55" customWidth="1"/>
    <col min="13826" max="13826" width="11.5703125" style="55" customWidth="1"/>
    <col min="13827" max="13827" width="42.7109375" style="55" customWidth="1"/>
    <col min="13828" max="13828" width="6.5703125" style="55" customWidth="1"/>
    <col min="13829" max="13829" width="12.28515625" style="55" customWidth="1"/>
    <col min="13830" max="13830" width="12" style="55" customWidth="1"/>
    <col min="13831" max="13831" width="11.7109375" style="55" customWidth="1"/>
    <col min="13832" max="13832" width="14.28515625" style="55" customWidth="1"/>
    <col min="13833" max="13833" width="12.28515625" style="55" customWidth="1"/>
    <col min="13834" max="13835" width="9" style="55"/>
    <col min="13836" max="13836" width="11.28515625" style="55" bestFit="1" customWidth="1"/>
    <col min="13837" max="13840" width="9" style="55"/>
    <col min="13841" max="13841" width="11.7109375" style="55" bestFit="1" customWidth="1"/>
    <col min="13842" max="14080" width="9" style="55"/>
    <col min="14081" max="14081" width="6" style="55" customWidth="1"/>
    <col min="14082" max="14082" width="11.5703125" style="55" customWidth="1"/>
    <col min="14083" max="14083" width="42.7109375" style="55" customWidth="1"/>
    <col min="14084" max="14084" width="6.5703125" style="55" customWidth="1"/>
    <col min="14085" max="14085" width="12.28515625" style="55" customWidth="1"/>
    <col min="14086" max="14086" width="12" style="55" customWidth="1"/>
    <col min="14087" max="14087" width="11.7109375" style="55" customWidth="1"/>
    <col min="14088" max="14088" width="14.28515625" style="55" customWidth="1"/>
    <col min="14089" max="14089" width="12.28515625" style="55" customWidth="1"/>
    <col min="14090" max="14091" width="9" style="55"/>
    <col min="14092" max="14092" width="11.28515625" style="55" bestFit="1" customWidth="1"/>
    <col min="14093" max="14096" width="9" style="55"/>
    <col min="14097" max="14097" width="11.7109375" style="55" bestFit="1" customWidth="1"/>
    <col min="14098" max="14336" width="9" style="55"/>
    <col min="14337" max="14337" width="6" style="55" customWidth="1"/>
    <col min="14338" max="14338" width="11.5703125" style="55" customWidth="1"/>
    <col min="14339" max="14339" width="42.7109375" style="55" customWidth="1"/>
    <col min="14340" max="14340" width="6.5703125" style="55" customWidth="1"/>
    <col min="14341" max="14341" width="12.28515625" style="55" customWidth="1"/>
    <col min="14342" max="14342" width="12" style="55" customWidth="1"/>
    <col min="14343" max="14343" width="11.7109375" style="55" customWidth="1"/>
    <col min="14344" max="14344" width="14.28515625" style="55" customWidth="1"/>
    <col min="14345" max="14345" width="12.28515625" style="55" customWidth="1"/>
    <col min="14346" max="14347" width="9" style="55"/>
    <col min="14348" max="14348" width="11.28515625" style="55" bestFit="1" customWidth="1"/>
    <col min="14349" max="14352" width="9" style="55"/>
    <col min="14353" max="14353" width="11.7109375" style="55" bestFit="1" customWidth="1"/>
    <col min="14354" max="14592" width="9" style="55"/>
    <col min="14593" max="14593" width="6" style="55" customWidth="1"/>
    <col min="14594" max="14594" width="11.5703125" style="55" customWidth="1"/>
    <col min="14595" max="14595" width="42.7109375" style="55" customWidth="1"/>
    <col min="14596" max="14596" width="6.5703125" style="55" customWidth="1"/>
    <col min="14597" max="14597" width="12.28515625" style="55" customWidth="1"/>
    <col min="14598" max="14598" width="12" style="55" customWidth="1"/>
    <col min="14599" max="14599" width="11.7109375" style="55" customWidth="1"/>
    <col min="14600" max="14600" width="14.28515625" style="55" customWidth="1"/>
    <col min="14601" max="14601" width="12.28515625" style="55" customWidth="1"/>
    <col min="14602" max="14603" width="9" style="55"/>
    <col min="14604" max="14604" width="11.28515625" style="55" bestFit="1" customWidth="1"/>
    <col min="14605" max="14608" width="9" style="55"/>
    <col min="14609" max="14609" width="11.7109375" style="55" bestFit="1" customWidth="1"/>
    <col min="14610" max="14848" width="9" style="55"/>
    <col min="14849" max="14849" width="6" style="55" customWidth="1"/>
    <col min="14850" max="14850" width="11.5703125" style="55" customWidth="1"/>
    <col min="14851" max="14851" width="42.7109375" style="55" customWidth="1"/>
    <col min="14852" max="14852" width="6.5703125" style="55" customWidth="1"/>
    <col min="14853" max="14853" width="12.28515625" style="55" customWidth="1"/>
    <col min="14854" max="14854" width="12" style="55" customWidth="1"/>
    <col min="14855" max="14855" width="11.7109375" style="55" customWidth="1"/>
    <col min="14856" max="14856" width="14.28515625" style="55" customWidth="1"/>
    <col min="14857" max="14857" width="12.28515625" style="55" customWidth="1"/>
    <col min="14858" max="14859" width="9" style="55"/>
    <col min="14860" max="14860" width="11.28515625" style="55" bestFit="1" customWidth="1"/>
    <col min="14861" max="14864" width="9" style="55"/>
    <col min="14865" max="14865" width="11.7109375" style="55" bestFit="1" customWidth="1"/>
    <col min="14866" max="15104" width="9" style="55"/>
    <col min="15105" max="15105" width="6" style="55" customWidth="1"/>
    <col min="15106" max="15106" width="11.5703125" style="55" customWidth="1"/>
    <col min="15107" max="15107" width="42.7109375" style="55" customWidth="1"/>
    <col min="15108" max="15108" width="6.5703125" style="55" customWidth="1"/>
    <col min="15109" max="15109" width="12.28515625" style="55" customWidth="1"/>
    <col min="15110" max="15110" width="12" style="55" customWidth="1"/>
    <col min="15111" max="15111" width="11.7109375" style="55" customWidth="1"/>
    <col min="15112" max="15112" width="14.28515625" style="55" customWidth="1"/>
    <col min="15113" max="15113" width="12.28515625" style="55" customWidth="1"/>
    <col min="15114" max="15115" width="9" style="55"/>
    <col min="15116" max="15116" width="11.28515625" style="55" bestFit="1" customWidth="1"/>
    <col min="15117" max="15120" width="9" style="55"/>
    <col min="15121" max="15121" width="11.7109375" style="55" bestFit="1" customWidth="1"/>
    <col min="15122" max="15360" width="9" style="55"/>
    <col min="15361" max="15361" width="6" style="55" customWidth="1"/>
    <col min="15362" max="15362" width="11.5703125" style="55" customWidth="1"/>
    <col min="15363" max="15363" width="42.7109375" style="55" customWidth="1"/>
    <col min="15364" max="15364" width="6.5703125" style="55" customWidth="1"/>
    <col min="15365" max="15365" width="12.28515625" style="55" customWidth="1"/>
    <col min="15366" max="15366" width="12" style="55" customWidth="1"/>
    <col min="15367" max="15367" width="11.7109375" style="55" customWidth="1"/>
    <col min="15368" max="15368" width="14.28515625" style="55" customWidth="1"/>
    <col min="15369" max="15369" width="12.28515625" style="55" customWidth="1"/>
    <col min="15370" max="15371" width="9" style="55"/>
    <col min="15372" max="15372" width="11.28515625" style="55" bestFit="1" customWidth="1"/>
    <col min="15373" max="15376" width="9" style="55"/>
    <col min="15377" max="15377" width="11.7109375" style="55" bestFit="1" customWidth="1"/>
    <col min="15378" max="15616" width="9" style="55"/>
    <col min="15617" max="15617" width="6" style="55" customWidth="1"/>
    <col min="15618" max="15618" width="11.5703125" style="55" customWidth="1"/>
    <col min="15619" max="15619" width="42.7109375" style="55" customWidth="1"/>
    <col min="15620" max="15620" width="6.5703125" style="55" customWidth="1"/>
    <col min="15621" max="15621" width="12.28515625" style="55" customWidth="1"/>
    <col min="15622" max="15622" width="12" style="55" customWidth="1"/>
    <col min="15623" max="15623" width="11.7109375" style="55" customWidth="1"/>
    <col min="15624" max="15624" width="14.28515625" style="55" customWidth="1"/>
    <col min="15625" max="15625" width="12.28515625" style="55" customWidth="1"/>
    <col min="15626" max="15627" width="9" style="55"/>
    <col min="15628" max="15628" width="11.28515625" style="55" bestFit="1" customWidth="1"/>
    <col min="15629" max="15632" width="9" style="55"/>
    <col min="15633" max="15633" width="11.7109375" style="55" bestFit="1" customWidth="1"/>
    <col min="15634" max="15872" width="9" style="55"/>
    <col min="15873" max="15873" width="6" style="55" customWidth="1"/>
    <col min="15874" max="15874" width="11.5703125" style="55" customWidth="1"/>
    <col min="15875" max="15875" width="42.7109375" style="55" customWidth="1"/>
    <col min="15876" max="15876" width="6.5703125" style="55" customWidth="1"/>
    <col min="15877" max="15877" width="12.28515625" style="55" customWidth="1"/>
    <col min="15878" max="15878" width="12" style="55" customWidth="1"/>
    <col min="15879" max="15879" width="11.7109375" style="55" customWidth="1"/>
    <col min="15880" max="15880" width="14.28515625" style="55" customWidth="1"/>
    <col min="15881" max="15881" width="12.28515625" style="55" customWidth="1"/>
    <col min="15882" max="15883" width="9" style="55"/>
    <col min="15884" max="15884" width="11.28515625" style="55" bestFit="1" customWidth="1"/>
    <col min="15885" max="15888" width="9" style="55"/>
    <col min="15889" max="15889" width="11.7109375" style="55" bestFit="1" customWidth="1"/>
    <col min="15890" max="16128" width="9" style="55"/>
    <col min="16129" max="16129" width="6" style="55" customWidth="1"/>
    <col min="16130" max="16130" width="11.5703125" style="55" customWidth="1"/>
    <col min="16131" max="16131" width="42.7109375" style="55" customWidth="1"/>
    <col min="16132" max="16132" width="6.5703125" style="55" customWidth="1"/>
    <col min="16133" max="16133" width="12.28515625" style="55" customWidth="1"/>
    <col min="16134" max="16134" width="12" style="55" customWidth="1"/>
    <col min="16135" max="16135" width="11.7109375" style="55" customWidth="1"/>
    <col min="16136" max="16136" width="14.28515625" style="55" customWidth="1"/>
    <col min="16137" max="16137" width="12.28515625" style="55" customWidth="1"/>
    <col min="16138" max="16139" width="9" style="55"/>
    <col min="16140" max="16140" width="11.28515625" style="55" bestFit="1" customWidth="1"/>
    <col min="16141" max="16144" width="9" style="55"/>
    <col min="16145" max="16145" width="11.7109375" style="55" bestFit="1" customWidth="1"/>
    <col min="16146" max="16384" width="9" style="55"/>
  </cols>
  <sheetData>
    <row r="1" spans="1:10" x14ac:dyDescent="0.25">
      <c r="A1" s="55" t="s">
        <v>0</v>
      </c>
    </row>
    <row r="2" spans="1:10" x14ac:dyDescent="0.25">
      <c r="A2" s="55" t="s">
        <v>1</v>
      </c>
    </row>
    <row r="4" spans="1:10" x14ac:dyDescent="0.25">
      <c r="A4" s="272" t="str">
        <f>+'[1]Hộp CB nền bạc'!A4:I5</f>
        <v>THẺ KHO NGUYÊN VẬT LIỆU</v>
      </c>
      <c r="B4" s="272"/>
      <c r="C4" s="272"/>
      <c r="D4" s="272"/>
      <c r="E4" s="272"/>
      <c r="F4" s="272"/>
      <c r="G4" s="272"/>
      <c r="H4" s="272"/>
      <c r="I4" s="272"/>
    </row>
    <row r="5" spans="1:10" x14ac:dyDescent="0.25">
      <c r="A5" s="272"/>
      <c r="B5" s="272"/>
      <c r="C5" s="272"/>
      <c r="D5" s="272"/>
      <c r="E5" s="272"/>
      <c r="F5" s="272"/>
      <c r="G5" s="272"/>
      <c r="H5" s="272"/>
      <c r="I5" s="272"/>
    </row>
    <row r="7" spans="1:10" ht="31.5" x14ac:dyDescent="0.25">
      <c r="A7" s="56" t="s">
        <v>3</v>
      </c>
      <c r="B7" s="56" t="s">
        <v>4</v>
      </c>
      <c r="C7" s="4" t="s">
        <v>31</v>
      </c>
      <c r="D7" s="56" t="s">
        <v>5</v>
      </c>
      <c r="E7" s="57" t="s">
        <v>6</v>
      </c>
      <c r="F7" s="57" t="s">
        <v>7</v>
      </c>
      <c r="G7" s="57" t="s">
        <v>8</v>
      </c>
      <c r="H7" s="57" t="s">
        <v>9</v>
      </c>
      <c r="I7" s="56" t="s">
        <v>10</v>
      </c>
    </row>
    <row r="8" spans="1:10" x14ac:dyDescent="0.25">
      <c r="A8" s="58"/>
      <c r="B8" s="59"/>
      <c r="C8" s="60" t="s">
        <v>14</v>
      </c>
      <c r="D8" s="61"/>
      <c r="E8" s="62"/>
      <c r="F8" s="63"/>
      <c r="G8" s="64"/>
      <c r="H8" s="58"/>
      <c r="I8" s="58"/>
    </row>
    <row r="9" spans="1:10" x14ac:dyDescent="0.25">
      <c r="A9" s="65">
        <v>1</v>
      </c>
      <c r="B9" s="59">
        <v>45790</v>
      </c>
      <c r="C9" s="66" t="s">
        <v>103</v>
      </c>
      <c r="D9" s="61"/>
      <c r="E9" s="67">
        <v>290</v>
      </c>
      <c r="F9" s="68"/>
      <c r="G9" s="69">
        <f>+G8+E9-F9</f>
        <v>290</v>
      </c>
      <c r="H9" s="69"/>
      <c r="I9" s="58"/>
    </row>
    <row r="10" spans="1:10" x14ac:dyDescent="0.25">
      <c r="A10" s="65">
        <f t="shared" ref="A10:A60" si="0">+A9+1</f>
        <v>2</v>
      </c>
      <c r="B10" s="59">
        <v>45793</v>
      </c>
      <c r="C10" s="66"/>
      <c r="D10" s="61"/>
      <c r="E10" s="67">
        <v>293</v>
      </c>
      <c r="F10" s="68">
        <v>5</v>
      </c>
      <c r="G10" s="69">
        <f>+G9+E10-F10</f>
        <v>578</v>
      </c>
      <c r="H10" s="69"/>
      <c r="I10" s="58"/>
    </row>
    <row r="11" spans="1:10" x14ac:dyDescent="0.25">
      <c r="A11" s="65">
        <f t="shared" si="0"/>
        <v>3</v>
      </c>
      <c r="B11" s="59">
        <v>45796</v>
      </c>
      <c r="C11" s="66"/>
      <c r="D11" s="61"/>
      <c r="E11" s="67"/>
      <c r="F11" s="68">
        <v>166</v>
      </c>
      <c r="G11" s="69">
        <f>+G10+E11-F11</f>
        <v>412</v>
      </c>
      <c r="H11" s="69"/>
      <c r="I11" s="58"/>
    </row>
    <row r="12" spans="1:10" x14ac:dyDescent="0.25">
      <c r="A12" s="65">
        <f t="shared" si="0"/>
        <v>4</v>
      </c>
      <c r="B12" s="59">
        <v>45817</v>
      </c>
      <c r="C12" s="66"/>
      <c r="D12" s="61"/>
      <c r="E12" s="67"/>
      <c r="F12" s="68">
        <v>35</v>
      </c>
      <c r="G12" s="69">
        <f>+G11+E12-F12</f>
        <v>377</v>
      </c>
      <c r="H12" s="69"/>
      <c r="I12" s="58"/>
    </row>
    <row r="13" spans="1:10" x14ac:dyDescent="0.25">
      <c r="A13" s="65">
        <f t="shared" si="0"/>
        <v>5</v>
      </c>
      <c r="B13" s="59">
        <v>45821</v>
      </c>
      <c r="C13" s="66"/>
      <c r="D13" s="61"/>
      <c r="E13" s="67"/>
      <c r="F13" s="68">
        <v>144</v>
      </c>
      <c r="G13" s="69">
        <f t="shared" ref="G13:G60" si="1">+G12+E13-F13</f>
        <v>233</v>
      </c>
      <c r="H13" s="69"/>
      <c r="I13" s="58"/>
    </row>
    <row r="14" spans="1:10" x14ac:dyDescent="0.25">
      <c r="A14" s="65">
        <f t="shared" si="0"/>
        <v>6</v>
      </c>
      <c r="B14" s="70">
        <v>45834</v>
      </c>
      <c r="C14" s="66"/>
      <c r="D14" s="61"/>
      <c r="E14" s="67">
        <v>300</v>
      </c>
      <c r="F14" s="68"/>
      <c r="G14" s="69">
        <f t="shared" si="1"/>
        <v>533</v>
      </c>
      <c r="H14" s="71"/>
      <c r="I14" s="58"/>
      <c r="J14" s="72"/>
    </row>
    <row r="15" spans="1:10" x14ac:dyDescent="0.25">
      <c r="A15" s="65">
        <f t="shared" si="0"/>
        <v>7</v>
      </c>
      <c r="B15" s="70">
        <v>45847</v>
      </c>
      <c r="C15" s="66" t="s">
        <v>130</v>
      </c>
      <c r="D15" s="61"/>
      <c r="E15" s="67"/>
      <c r="F15" s="68">
        <v>7</v>
      </c>
      <c r="G15" s="69">
        <f t="shared" si="1"/>
        <v>526</v>
      </c>
      <c r="H15" s="69"/>
      <c r="I15" s="58"/>
    </row>
    <row r="16" spans="1:10" s="218" customFormat="1" x14ac:dyDescent="0.25">
      <c r="A16" s="249">
        <f t="shared" si="0"/>
        <v>8</v>
      </c>
      <c r="B16" s="211">
        <v>45847</v>
      </c>
      <c r="C16" s="212"/>
      <c r="D16" s="213"/>
      <c r="E16" s="214"/>
      <c r="F16" s="215">
        <v>109</v>
      </c>
      <c r="G16" s="250">
        <f t="shared" si="1"/>
        <v>417</v>
      </c>
      <c r="H16" s="250"/>
      <c r="I16" s="217" t="s">
        <v>131</v>
      </c>
    </row>
    <row r="17" spans="1:15" s="218" customFormat="1" x14ac:dyDescent="0.25">
      <c r="A17" s="249">
        <f t="shared" si="0"/>
        <v>9</v>
      </c>
      <c r="B17" s="211">
        <v>45864</v>
      </c>
      <c r="C17" s="212"/>
      <c r="D17" s="213"/>
      <c r="E17" s="214"/>
      <c r="F17" s="215">
        <v>66</v>
      </c>
      <c r="G17" s="250">
        <f t="shared" si="1"/>
        <v>351</v>
      </c>
      <c r="H17" s="250"/>
      <c r="I17" s="217"/>
    </row>
    <row r="18" spans="1:15" s="218" customFormat="1" x14ac:dyDescent="0.25">
      <c r="A18" s="249">
        <f t="shared" si="0"/>
        <v>10</v>
      </c>
      <c r="B18" s="211">
        <v>45866</v>
      </c>
      <c r="C18" s="212"/>
      <c r="D18" s="213"/>
      <c r="E18" s="214"/>
      <c r="F18" s="215">
        <v>140</v>
      </c>
      <c r="G18" s="250">
        <f t="shared" si="1"/>
        <v>211</v>
      </c>
      <c r="H18" s="250"/>
      <c r="I18" s="217"/>
    </row>
    <row r="19" spans="1:15" s="218" customFormat="1" x14ac:dyDescent="0.25">
      <c r="A19" s="249">
        <f t="shared" si="0"/>
        <v>11</v>
      </c>
      <c r="B19" s="211">
        <v>45918</v>
      </c>
      <c r="C19" s="212"/>
      <c r="D19" s="213"/>
      <c r="E19" s="251"/>
      <c r="F19" s="215">
        <v>70</v>
      </c>
      <c r="G19" s="250">
        <f t="shared" si="1"/>
        <v>141</v>
      </c>
      <c r="H19" s="250"/>
      <c r="I19" s="217"/>
    </row>
    <row r="20" spans="1:15" s="218" customFormat="1" x14ac:dyDescent="0.25">
      <c r="A20" s="249">
        <f t="shared" si="0"/>
        <v>12</v>
      </c>
      <c r="B20" s="211">
        <v>45919</v>
      </c>
      <c r="C20" s="212"/>
      <c r="D20" s="213"/>
      <c r="E20" s="252"/>
      <c r="F20" s="252">
        <v>139</v>
      </c>
      <c r="G20" s="250">
        <f t="shared" si="1"/>
        <v>2</v>
      </c>
      <c r="H20" s="253"/>
      <c r="I20" s="254"/>
    </row>
    <row r="21" spans="1:15" s="218" customFormat="1" x14ac:dyDescent="0.25">
      <c r="A21" s="249">
        <f t="shared" si="0"/>
        <v>13</v>
      </c>
      <c r="B21" s="211">
        <v>45920</v>
      </c>
      <c r="C21" s="212"/>
      <c r="D21" s="213"/>
      <c r="E21" s="255"/>
      <c r="F21" s="256">
        <v>16</v>
      </c>
      <c r="G21" s="250">
        <f t="shared" si="1"/>
        <v>-14</v>
      </c>
      <c r="H21" s="217"/>
      <c r="I21" s="217"/>
    </row>
    <row r="22" spans="1:15" s="218" customFormat="1" x14ac:dyDescent="0.25">
      <c r="A22" s="249">
        <f t="shared" si="0"/>
        <v>14</v>
      </c>
      <c r="B22" s="211"/>
      <c r="C22" s="212"/>
      <c r="D22" s="213"/>
      <c r="E22" s="214"/>
      <c r="F22" s="215"/>
      <c r="G22" s="250">
        <f t="shared" si="1"/>
        <v>-14</v>
      </c>
      <c r="H22" s="217"/>
      <c r="I22" s="217"/>
      <c r="L22" s="218">
        <f>3224*91</f>
        <v>293384</v>
      </c>
    </row>
    <row r="23" spans="1:15" s="218" customFormat="1" x14ac:dyDescent="0.25">
      <c r="A23" s="249">
        <f t="shared" si="0"/>
        <v>15</v>
      </c>
      <c r="B23" s="211"/>
      <c r="C23" s="212"/>
      <c r="D23" s="213"/>
      <c r="E23" s="214"/>
      <c r="F23" s="215"/>
      <c r="G23" s="250">
        <f t="shared" si="1"/>
        <v>-14</v>
      </c>
      <c r="H23" s="216"/>
      <c r="I23" s="217"/>
      <c r="L23" s="218">
        <f>+L22/2821</f>
        <v>104</v>
      </c>
    </row>
    <row r="24" spans="1:15" s="218" customFormat="1" x14ac:dyDescent="0.25">
      <c r="A24" s="249">
        <f t="shared" si="0"/>
        <v>16</v>
      </c>
      <c r="B24" s="211"/>
      <c r="C24" s="212"/>
      <c r="D24" s="213"/>
      <c r="E24" s="214"/>
      <c r="F24" s="215"/>
      <c r="G24" s="250">
        <f t="shared" si="1"/>
        <v>-14</v>
      </c>
      <c r="H24" s="216"/>
      <c r="I24" s="217"/>
    </row>
    <row r="25" spans="1:15" s="218" customFormat="1" x14ac:dyDescent="0.25">
      <c r="A25" s="249">
        <f t="shared" si="0"/>
        <v>17</v>
      </c>
      <c r="B25" s="211"/>
      <c r="C25" s="212"/>
      <c r="D25" s="213"/>
      <c r="E25" s="214"/>
      <c r="F25" s="215"/>
      <c r="G25" s="250">
        <f t="shared" si="1"/>
        <v>-14</v>
      </c>
      <c r="H25" s="216"/>
      <c r="I25" s="217"/>
    </row>
    <row r="26" spans="1:15" s="218" customFormat="1" x14ac:dyDescent="0.25">
      <c r="A26" s="249">
        <f t="shared" si="0"/>
        <v>18</v>
      </c>
      <c r="B26" s="211"/>
      <c r="C26" s="212"/>
      <c r="D26" s="213"/>
      <c r="E26" s="214"/>
      <c r="F26" s="215"/>
      <c r="G26" s="250">
        <f t="shared" si="1"/>
        <v>-14</v>
      </c>
      <c r="H26" s="216"/>
      <c r="I26" s="217"/>
    </row>
    <row r="27" spans="1:15" s="218" customFormat="1" x14ac:dyDescent="0.25">
      <c r="A27" s="249">
        <f t="shared" si="0"/>
        <v>19</v>
      </c>
      <c r="B27" s="211"/>
      <c r="C27" s="212"/>
      <c r="D27" s="213"/>
      <c r="E27" s="214"/>
      <c r="F27" s="215"/>
      <c r="G27" s="250">
        <f t="shared" si="1"/>
        <v>-14</v>
      </c>
      <c r="H27" s="216"/>
      <c r="I27" s="217"/>
    </row>
    <row r="28" spans="1:15" s="218" customFormat="1" x14ac:dyDescent="0.25">
      <c r="A28" s="249">
        <f t="shared" si="0"/>
        <v>20</v>
      </c>
      <c r="B28" s="211"/>
      <c r="C28" s="212"/>
      <c r="D28" s="213"/>
      <c r="E28" s="214"/>
      <c r="F28" s="215"/>
      <c r="G28" s="250">
        <f t="shared" si="1"/>
        <v>-14</v>
      </c>
      <c r="H28" s="216"/>
      <c r="I28" s="217"/>
      <c r="O28" s="218">
        <f>1296*91</f>
        <v>117936</v>
      </c>
    </row>
    <row r="29" spans="1:15" s="218" customFormat="1" x14ac:dyDescent="0.25">
      <c r="A29" s="249"/>
      <c r="B29" s="211"/>
      <c r="C29" s="212"/>
      <c r="D29" s="213"/>
      <c r="E29" s="214"/>
      <c r="F29" s="215"/>
      <c r="G29" s="250">
        <f t="shared" si="1"/>
        <v>-14</v>
      </c>
      <c r="H29" s="216"/>
      <c r="I29" s="217"/>
      <c r="O29" s="218">
        <f>+O28/2821</f>
        <v>41.806451612903224</v>
      </c>
    </row>
    <row r="30" spans="1:15" s="218" customFormat="1" x14ac:dyDescent="0.25">
      <c r="A30" s="249">
        <f>+A28+1</f>
        <v>21</v>
      </c>
      <c r="B30" s="211"/>
      <c r="C30" s="212"/>
      <c r="D30" s="213"/>
      <c r="E30" s="214"/>
      <c r="F30" s="215"/>
      <c r="G30" s="250">
        <f t="shared" si="1"/>
        <v>-14</v>
      </c>
      <c r="H30" s="216"/>
      <c r="I30" s="217"/>
    </row>
    <row r="31" spans="1:15" s="218" customFormat="1" x14ac:dyDescent="0.25">
      <c r="A31" s="249">
        <f t="shared" si="0"/>
        <v>22</v>
      </c>
      <c r="B31" s="211"/>
      <c r="C31" s="212"/>
      <c r="D31" s="213"/>
      <c r="E31" s="214"/>
      <c r="F31" s="215"/>
      <c r="G31" s="250">
        <f t="shared" si="1"/>
        <v>-14</v>
      </c>
      <c r="H31" s="216"/>
      <c r="I31" s="217"/>
    </row>
    <row r="32" spans="1:15" s="218" customFormat="1" x14ac:dyDescent="0.25">
      <c r="A32" s="249">
        <f t="shared" si="0"/>
        <v>23</v>
      </c>
      <c r="B32" s="211"/>
      <c r="C32" s="212"/>
      <c r="D32" s="213"/>
      <c r="E32" s="214"/>
      <c r="F32" s="215"/>
      <c r="G32" s="250">
        <f t="shared" si="1"/>
        <v>-14</v>
      </c>
      <c r="H32" s="216"/>
      <c r="I32" s="217"/>
      <c r="L32" s="218">
        <f>4*20+31</f>
        <v>111</v>
      </c>
    </row>
    <row r="33" spans="1:16" s="218" customFormat="1" x14ac:dyDescent="0.25">
      <c r="A33" s="249">
        <f t="shared" si="0"/>
        <v>24</v>
      </c>
      <c r="B33" s="211"/>
      <c r="C33" s="212"/>
      <c r="D33" s="213"/>
      <c r="E33" s="214"/>
      <c r="F33" s="215"/>
      <c r="G33" s="250">
        <f t="shared" si="1"/>
        <v>-14</v>
      </c>
      <c r="H33" s="216"/>
      <c r="I33" s="217"/>
      <c r="L33" s="218">
        <f>+L32+M32</f>
        <v>111</v>
      </c>
    </row>
    <row r="34" spans="1:16" x14ac:dyDescent="0.25">
      <c r="A34" s="65">
        <f t="shared" si="0"/>
        <v>25</v>
      </c>
      <c r="B34" s="59"/>
      <c r="C34" s="66"/>
      <c r="D34" s="61"/>
      <c r="E34" s="67"/>
      <c r="F34" s="68"/>
      <c r="G34" s="69">
        <f t="shared" si="1"/>
        <v>-14</v>
      </c>
      <c r="H34" s="74"/>
      <c r="I34" s="58"/>
    </row>
    <row r="35" spans="1:16" x14ac:dyDescent="0.25">
      <c r="A35" s="65">
        <f t="shared" si="0"/>
        <v>26</v>
      </c>
      <c r="B35" s="59"/>
      <c r="C35" s="66"/>
      <c r="D35" s="61"/>
      <c r="E35" s="67"/>
      <c r="F35" s="68"/>
      <c r="G35" s="69">
        <f t="shared" si="1"/>
        <v>-14</v>
      </c>
      <c r="H35" s="74"/>
      <c r="I35" s="58"/>
      <c r="P35" s="55">
        <f>158-15</f>
        <v>143</v>
      </c>
    </row>
    <row r="36" spans="1:16" x14ac:dyDescent="0.25">
      <c r="A36" s="65">
        <f t="shared" si="0"/>
        <v>27</v>
      </c>
      <c r="B36" s="59"/>
      <c r="C36" s="66"/>
      <c r="D36" s="61"/>
      <c r="E36" s="67"/>
      <c r="F36" s="68"/>
      <c r="G36" s="69">
        <f t="shared" si="1"/>
        <v>-14</v>
      </c>
      <c r="H36" s="74"/>
      <c r="I36" s="58"/>
    </row>
    <row r="37" spans="1:16" x14ac:dyDescent="0.25">
      <c r="A37" s="65">
        <f t="shared" si="0"/>
        <v>28</v>
      </c>
      <c r="B37" s="59"/>
      <c r="C37" s="66"/>
      <c r="D37" s="61"/>
      <c r="E37" s="67"/>
      <c r="F37" s="68"/>
      <c r="G37" s="69">
        <f t="shared" si="1"/>
        <v>-14</v>
      </c>
      <c r="H37" s="74"/>
      <c r="I37" s="58"/>
    </row>
    <row r="38" spans="1:16" x14ac:dyDescent="0.25">
      <c r="A38" s="65">
        <f t="shared" si="0"/>
        <v>29</v>
      </c>
      <c r="B38" s="59"/>
      <c r="C38" s="66"/>
      <c r="D38" s="61"/>
      <c r="E38" s="67"/>
      <c r="F38" s="68"/>
      <c r="G38" s="69">
        <f t="shared" si="1"/>
        <v>-14</v>
      </c>
      <c r="H38" s="74"/>
      <c r="I38" s="58"/>
    </row>
    <row r="39" spans="1:16" x14ac:dyDescent="0.25">
      <c r="A39" s="65">
        <f t="shared" si="0"/>
        <v>30</v>
      </c>
      <c r="B39" s="59"/>
      <c r="C39" s="66"/>
      <c r="D39" s="61"/>
      <c r="E39" s="67"/>
      <c r="F39" s="68"/>
      <c r="G39" s="69">
        <f t="shared" si="1"/>
        <v>-14</v>
      </c>
      <c r="H39" s="74"/>
      <c r="I39" s="58"/>
    </row>
    <row r="40" spans="1:16" x14ac:dyDescent="0.25">
      <c r="A40" s="65">
        <f t="shared" si="0"/>
        <v>31</v>
      </c>
      <c r="B40" s="59"/>
      <c r="C40" s="66"/>
      <c r="D40" s="61"/>
      <c r="E40" s="67"/>
      <c r="F40" s="68"/>
      <c r="G40" s="69">
        <f t="shared" si="1"/>
        <v>-14</v>
      </c>
      <c r="H40" s="74"/>
      <c r="I40" s="58"/>
    </row>
    <row r="41" spans="1:16" x14ac:dyDescent="0.25">
      <c r="A41" s="65">
        <f t="shared" si="0"/>
        <v>32</v>
      </c>
      <c r="B41" s="59"/>
      <c r="C41" s="66"/>
      <c r="D41" s="61"/>
      <c r="E41" s="67"/>
      <c r="F41" s="68"/>
      <c r="G41" s="69">
        <f t="shared" si="1"/>
        <v>-14</v>
      </c>
      <c r="H41" s="74"/>
      <c r="I41" s="58"/>
    </row>
    <row r="42" spans="1:16" x14ac:dyDescent="0.25">
      <c r="A42" s="65">
        <f t="shared" si="0"/>
        <v>33</v>
      </c>
      <c r="B42" s="59"/>
      <c r="C42" s="66"/>
      <c r="D42" s="61"/>
      <c r="E42" s="67"/>
      <c r="F42" s="68"/>
      <c r="G42" s="69">
        <f t="shared" si="1"/>
        <v>-14</v>
      </c>
      <c r="H42" s="74"/>
      <c r="I42" s="58"/>
    </row>
    <row r="43" spans="1:16" x14ac:dyDescent="0.25">
      <c r="A43" s="65">
        <f t="shared" si="0"/>
        <v>34</v>
      </c>
      <c r="B43" s="59"/>
      <c r="C43" s="66"/>
      <c r="D43" s="61"/>
      <c r="E43" s="67"/>
      <c r="F43" s="68"/>
      <c r="G43" s="69">
        <f t="shared" si="1"/>
        <v>-14</v>
      </c>
      <c r="H43" s="74"/>
      <c r="I43" s="58"/>
    </row>
    <row r="44" spans="1:16" x14ac:dyDescent="0.25">
      <c r="A44" s="65">
        <f t="shared" si="0"/>
        <v>35</v>
      </c>
      <c r="B44" s="59"/>
      <c r="C44" s="66"/>
      <c r="D44" s="61"/>
      <c r="E44" s="67"/>
      <c r="F44" s="68"/>
      <c r="G44" s="69">
        <f t="shared" si="1"/>
        <v>-14</v>
      </c>
      <c r="H44" s="74"/>
      <c r="I44" s="58"/>
    </row>
    <row r="45" spans="1:16" x14ac:dyDescent="0.25">
      <c r="A45" s="65">
        <f t="shared" si="0"/>
        <v>36</v>
      </c>
      <c r="B45" s="59"/>
      <c r="C45" s="66"/>
      <c r="D45" s="61"/>
      <c r="E45" s="67"/>
      <c r="F45" s="68"/>
      <c r="G45" s="69">
        <f t="shared" si="1"/>
        <v>-14</v>
      </c>
      <c r="H45" s="74"/>
      <c r="I45" s="58"/>
    </row>
    <row r="46" spans="1:16" x14ac:dyDescent="0.25">
      <c r="A46" s="65">
        <f t="shared" si="0"/>
        <v>37</v>
      </c>
      <c r="B46" s="59"/>
      <c r="C46" s="66"/>
      <c r="D46" s="61"/>
      <c r="E46" s="67"/>
      <c r="F46" s="68"/>
      <c r="G46" s="69">
        <f t="shared" si="1"/>
        <v>-14</v>
      </c>
      <c r="H46" s="74"/>
      <c r="I46" s="58"/>
    </row>
    <row r="47" spans="1:16" x14ac:dyDescent="0.25">
      <c r="A47" s="65">
        <f t="shared" si="0"/>
        <v>38</v>
      </c>
      <c r="B47" s="59"/>
      <c r="C47" s="66"/>
      <c r="D47" s="61"/>
      <c r="E47" s="67"/>
      <c r="F47" s="68"/>
      <c r="G47" s="69">
        <f t="shared" si="1"/>
        <v>-14</v>
      </c>
      <c r="H47" s="74"/>
      <c r="I47" s="58"/>
    </row>
    <row r="48" spans="1:16" x14ac:dyDescent="0.25">
      <c r="A48" s="191">
        <f t="shared" si="0"/>
        <v>39</v>
      </c>
      <c r="B48" s="97"/>
      <c r="C48" s="153"/>
      <c r="D48" s="154"/>
      <c r="E48" s="165"/>
      <c r="F48" s="166"/>
      <c r="G48" s="167">
        <f t="shared" si="1"/>
        <v>-14</v>
      </c>
      <c r="H48" s="197"/>
      <c r="I48" s="96"/>
    </row>
    <row r="49" spans="1:13" x14ac:dyDescent="0.25">
      <c r="A49" s="65">
        <f t="shared" si="0"/>
        <v>40</v>
      </c>
      <c r="B49" s="59"/>
      <c r="C49" s="66"/>
      <c r="D49" s="61"/>
      <c r="E49" s="67"/>
      <c r="F49" s="68"/>
      <c r="G49" s="69">
        <f t="shared" si="1"/>
        <v>-14</v>
      </c>
      <c r="H49" s="74"/>
      <c r="I49" s="58"/>
    </row>
    <row r="50" spans="1:13" x14ac:dyDescent="0.25">
      <c r="A50" s="65">
        <f t="shared" si="0"/>
        <v>41</v>
      </c>
      <c r="B50" s="59"/>
      <c r="C50" s="66"/>
      <c r="D50" s="61"/>
      <c r="E50" s="67"/>
      <c r="F50" s="68"/>
      <c r="G50" s="69">
        <f t="shared" si="1"/>
        <v>-14</v>
      </c>
      <c r="H50" s="74"/>
      <c r="I50" s="58"/>
    </row>
    <row r="51" spans="1:13" x14ac:dyDescent="0.25">
      <c r="A51" s="65">
        <f t="shared" si="0"/>
        <v>42</v>
      </c>
      <c r="B51" s="59"/>
      <c r="C51" s="66"/>
      <c r="D51" s="61"/>
      <c r="E51" s="67"/>
      <c r="F51" s="68"/>
      <c r="G51" s="69">
        <f t="shared" si="1"/>
        <v>-14</v>
      </c>
      <c r="H51" s="74"/>
      <c r="I51" s="58"/>
    </row>
    <row r="52" spans="1:13" x14ac:dyDescent="0.25">
      <c r="A52" s="65">
        <f t="shared" si="0"/>
        <v>43</v>
      </c>
      <c r="B52" s="59"/>
      <c r="C52" s="66"/>
      <c r="D52" s="61"/>
      <c r="E52" s="67"/>
      <c r="F52" s="68"/>
      <c r="G52" s="69">
        <f t="shared" si="1"/>
        <v>-14</v>
      </c>
      <c r="H52" s="74"/>
      <c r="I52" s="58"/>
    </row>
    <row r="53" spans="1:13" x14ac:dyDescent="0.25">
      <c r="A53" s="65">
        <f t="shared" si="0"/>
        <v>44</v>
      </c>
      <c r="B53" s="59"/>
      <c r="C53" s="66"/>
      <c r="D53" s="61"/>
      <c r="E53" s="67"/>
      <c r="F53" s="68"/>
      <c r="G53" s="69">
        <f t="shared" si="1"/>
        <v>-14</v>
      </c>
      <c r="H53" s="74"/>
      <c r="I53" s="58"/>
    </row>
    <row r="54" spans="1:13" x14ac:dyDescent="0.25">
      <c r="A54" s="65">
        <f t="shared" si="0"/>
        <v>45</v>
      </c>
      <c r="B54" s="59"/>
      <c r="C54" s="66"/>
      <c r="D54" s="61"/>
      <c r="E54" s="67"/>
      <c r="F54" s="68"/>
      <c r="G54" s="69">
        <f t="shared" si="1"/>
        <v>-14</v>
      </c>
      <c r="H54" s="58"/>
      <c r="I54" s="58"/>
    </row>
    <row r="55" spans="1:13" x14ac:dyDescent="0.25">
      <c r="A55" s="65">
        <f t="shared" si="0"/>
        <v>46</v>
      </c>
      <c r="B55" s="59"/>
      <c r="C55" s="66"/>
      <c r="D55" s="61"/>
      <c r="E55" s="67"/>
      <c r="F55" s="68"/>
      <c r="G55" s="69">
        <f t="shared" si="1"/>
        <v>-14</v>
      </c>
      <c r="H55" s="58"/>
      <c r="I55" s="58"/>
      <c r="K55" s="176"/>
    </row>
    <row r="56" spans="1:13" x14ac:dyDescent="0.25">
      <c r="A56" s="65">
        <f t="shared" si="0"/>
        <v>47</v>
      </c>
      <c r="B56" s="59"/>
      <c r="C56" s="66"/>
      <c r="D56" s="61"/>
      <c r="E56" s="67"/>
      <c r="F56" s="68"/>
      <c r="G56" s="69">
        <f t="shared" si="1"/>
        <v>-14</v>
      </c>
      <c r="H56" s="58"/>
      <c r="I56" s="58"/>
    </row>
    <row r="57" spans="1:13" x14ac:dyDescent="0.25">
      <c r="A57" s="65">
        <f t="shared" si="0"/>
        <v>48</v>
      </c>
      <c r="B57" s="59"/>
      <c r="C57" s="66"/>
      <c r="D57" s="61"/>
      <c r="E57" s="67"/>
      <c r="F57" s="68"/>
      <c r="G57" s="69">
        <f t="shared" si="1"/>
        <v>-14</v>
      </c>
      <c r="H57" s="58"/>
      <c r="I57" s="58"/>
    </row>
    <row r="58" spans="1:13" x14ac:dyDescent="0.25">
      <c r="A58" s="65">
        <f t="shared" si="0"/>
        <v>49</v>
      </c>
      <c r="B58" s="59"/>
      <c r="C58" s="66"/>
      <c r="D58" s="61"/>
      <c r="E58" s="67"/>
      <c r="F58" s="68"/>
      <c r="G58" s="69">
        <f t="shared" si="1"/>
        <v>-14</v>
      </c>
      <c r="H58" s="58"/>
      <c r="I58" s="58"/>
    </row>
    <row r="59" spans="1:13" x14ac:dyDescent="0.25">
      <c r="A59" s="65">
        <f t="shared" si="0"/>
        <v>50</v>
      </c>
      <c r="B59" s="59"/>
      <c r="C59" s="66"/>
      <c r="D59" s="61"/>
      <c r="E59" s="67"/>
      <c r="F59" s="68"/>
      <c r="G59" s="69">
        <f t="shared" si="1"/>
        <v>-14</v>
      </c>
      <c r="H59" s="58"/>
      <c r="I59" s="58"/>
    </row>
    <row r="60" spans="1:13" x14ac:dyDescent="0.25">
      <c r="A60" s="65">
        <f t="shared" si="0"/>
        <v>51</v>
      </c>
      <c r="B60" s="75"/>
      <c r="C60" s="76"/>
      <c r="D60" s="61"/>
      <c r="E60" s="67"/>
      <c r="F60" s="68"/>
      <c r="G60" s="69">
        <f t="shared" si="1"/>
        <v>-14</v>
      </c>
      <c r="H60" s="69"/>
      <c r="I60" s="58"/>
    </row>
    <row r="61" spans="1:13" x14ac:dyDescent="0.25">
      <c r="A61" s="58"/>
      <c r="B61" s="58"/>
      <c r="C61" s="77" t="s">
        <v>13</v>
      </c>
      <c r="D61" s="58"/>
      <c r="E61" s="78">
        <f>SUM(E9:E60)</f>
        <v>883</v>
      </c>
      <c r="F61" s="78">
        <f>SUM(F9:F60)</f>
        <v>897</v>
      </c>
      <c r="G61" s="78">
        <f>+E61-F61+G8</f>
        <v>-14</v>
      </c>
      <c r="H61" s="78"/>
      <c r="I61" s="79"/>
      <c r="M61" s="55">
        <f>9*20+2</f>
        <v>182</v>
      </c>
    </row>
    <row r="62" spans="1:13" x14ac:dyDescent="0.25">
      <c r="E62" s="72"/>
      <c r="F62" s="72"/>
    </row>
  </sheetData>
  <mergeCells count="1">
    <mergeCell ref="A4:I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9"/>
  <dimension ref="A1:O158"/>
  <sheetViews>
    <sheetView topLeftCell="A7" workbookViewId="0">
      <selection activeCell="F25" sqref="F25"/>
    </sheetView>
  </sheetViews>
  <sheetFormatPr defaultRowHeight="15.75" x14ac:dyDescent="0.25"/>
  <cols>
    <col min="1" max="1" width="6" style="55" customWidth="1"/>
    <col min="2" max="2" width="11.5703125" style="55" customWidth="1"/>
    <col min="3" max="3" width="45.42578125" style="55" customWidth="1"/>
    <col min="4" max="4" width="6.140625" style="80" customWidth="1"/>
    <col min="5" max="5" width="12.28515625" style="120" customWidth="1"/>
    <col min="6" max="6" width="12.28515625" style="113" customWidth="1"/>
    <col min="7" max="7" width="12.28515625" style="111" customWidth="1"/>
    <col min="8" max="8" width="21.5703125" style="81" customWidth="1"/>
    <col min="9" max="9" width="16.28515625" style="81" customWidth="1"/>
    <col min="10" max="256" width="9.140625" style="55"/>
    <col min="257" max="257" width="6" style="55" customWidth="1"/>
    <col min="258" max="258" width="11.5703125" style="55" customWidth="1"/>
    <col min="259" max="259" width="45.42578125" style="55" customWidth="1"/>
    <col min="260" max="260" width="6.140625" style="55" customWidth="1"/>
    <col min="261" max="263" width="12.28515625" style="55" customWidth="1"/>
    <col min="264" max="264" width="15.140625" style="55" customWidth="1"/>
    <col min="265" max="265" width="15" style="55" customWidth="1"/>
    <col min="266" max="512" width="9.140625" style="55"/>
    <col min="513" max="513" width="6" style="55" customWidth="1"/>
    <col min="514" max="514" width="11.5703125" style="55" customWidth="1"/>
    <col min="515" max="515" width="45.42578125" style="55" customWidth="1"/>
    <col min="516" max="516" width="6.140625" style="55" customWidth="1"/>
    <col min="517" max="519" width="12.28515625" style="55" customWidth="1"/>
    <col min="520" max="520" width="15.140625" style="55" customWidth="1"/>
    <col min="521" max="521" width="15" style="55" customWidth="1"/>
    <col min="522" max="768" width="9.140625" style="55"/>
    <col min="769" max="769" width="6" style="55" customWidth="1"/>
    <col min="770" max="770" width="11.5703125" style="55" customWidth="1"/>
    <col min="771" max="771" width="45.42578125" style="55" customWidth="1"/>
    <col min="772" max="772" width="6.140625" style="55" customWidth="1"/>
    <col min="773" max="775" width="12.28515625" style="55" customWidth="1"/>
    <col min="776" max="776" width="15.140625" style="55" customWidth="1"/>
    <col min="777" max="777" width="15" style="55" customWidth="1"/>
    <col min="778" max="1024" width="9.140625" style="55"/>
    <col min="1025" max="1025" width="6" style="55" customWidth="1"/>
    <col min="1026" max="1026" width="11.5703125" style="55" customWidth="1"/>
    <col min="1027" max="1027" width="45.42578125" style="55" customWidth="1"/>
    <col min="1028" max="1028" width="6.140625" style="55" customWidth="1"/>
    <col min="1029" max="1031" width="12.28515625" style="55" customWidth="1"/>
    <col min="1032" max="1032" width="15.140625" style="55" customWidth="1"/>
    <col min="1033" max="1033" width="15" style="55" customWidth="1"/>
    <col min="1034" max="1280" width="9.140625" style="55"/>
    <col min="1281" max="1281" width="6" style="55" customWidth="1"/>
    <col min="1282" max="1282" width="11.5703125" style="55" customWidth="1"/>
    <col min="1283" max="1283" width="45.42578125" style="55" customWidth="1"/>
    <col min="1284" max="1284" width="6.140625" style="55" customWidth="1"/>
    <col min="1285" max="1287" width="12.28515625" style="55" customWidth="1"/>
    <col min="1288" max="1288" width="15.140625" style="55" customWidth="1"/>
    <col min="1289" max="1289" width="15" style="55" customWidth="1"/>
    <col min="1290" max="1536" width="9.140625" style="55"/>
    <col min="1537" max="1537" width="6" style="55" customWidth="1"/>
    <col min="1538" max="1538" width="11.5703125" style="55" customWidth="1"/>
    <col min="1539" max="1539" width="45.42578125" style="55" customWidth="1"/>
    <col min="1540" max="1540" width="6.140625" style="55" customWidth="1"/>
    <col min="1541" max="1543" width="12.28515625" style="55" customWidth="1"/>
    <col min="1544" max="1544" width="15.140625" style="55" customWidth="1"/>
    <col min="1545" max="1545" width="15" style="55" customWidth="1"/>
    <col min="1546" max="1792" width="9.140625" style="55"/>
    <col min="1793" max="1793" width="6" style="55" customWidth="1"/>
    <col min="1794" max="1794" width="11.5703125" style="55" customWidth="1"/>
    <col min="1795" max="1795" width="45.42578125" style="55" customWidth="1"/>
    <col min="1796" max="1796" width="6.140625" style="55" customWidth="1"/>
    <col min="1797" max="1799" width="12.28515625" style="55" customWidth="1"/>
    <col min="1800" max="1800" width="15.140625" style="55" customWidth="1"/>
    <col min="1801" max="1801" width="15" style="55" customWidth="1"/>
    <col min="1802" max="2048" width="9.140625" style="55"/>
    <col min="2049" max="2049" width="6" style="55" customWidth="1"/>
    <col min="2050" max="2050" width="11.5703125" style="55" customWidth="1"/>
    <col min="2051" max="2051" width="45.42578125" style="55" customWidth="1"/>
    <col min="2052" max="2052" width="6.140625" style="55" customWidth="1"/>
    <col min="2053" max="2055" width="12.28515625" style="55" customWidth="1"/>
    <col min="2056" max="2056" width="15.140625" style="55" customWidth="1"/>
    <col min="2057" max="2057" width="15" style="55" customWidth="1"/>
    <col min="2058" max="2304" width="9.140625" style="55"/>
    <col min="2305" max="2305" width="6" style="55" customWidth="1"/>
    <col min="2306" max="2306" width="11.5703125" style="55" customWidth="1"/>
    <col min="2307" max="2307" width="45.42578125" style="55" customWidth="1"/>
    <col min="2308" max="2308" width="6.140625" style="55" customWidth="1"/>
    <col min="2309" max="2311" width="12.28515625" style="55" customWidth="1"/>
    <col min="2312" max="2312" width="15.140625" style="55" customWidth="1"/>
    <col min="2313" max="2313" width="15" style="55" customWidth="1"/>
    <col min="2314" max="2560" width="9.140625" style="55"/>
    <col min="2561" max="2561" width="6" style="55" customWidth="1"/>
    <col min="2562" max="2562" width="11.5703125" style="55" customWidth="1"/>
    <col min="2563" max="2563" width="45.42578125" style="55" customWidth="1"/>
    <col min="2564" max="2564" width="6.140625" style="55" customWidth="1"/>
    <col min="2565" max="2567" width="12.28515625" style="55" customWidth="1"/>
    <col min="2568" max="2568" width="15.140625" style="55" customWidth="1"/>
    <col min="2569" max="2569" width="15" style="55" customWidth="1"/>
    <col min="2570" max="2816" width="9.140625" style="55"/>
    <col min="2817" max="2817" width="6" style="55" customWidth="1"/>
    <col min="2818" max="2818" width="11.5703125" style="55" customWidth="1"/>
    <col min="2819" max="2819" width="45.42578125" style="55" customWidth="1"/>
    <col min="2820" max="2820" width="6.140625" style="55" customWidth="1"/>
    <col min="2821" max="2823" width="12.28515625" style="55" customWidth="1"/>
    <col min="2824" max="2824" width="15.140625" style="55" customWidth="1"/>
    <col min="2825" max="2825" width="15" style="55" customWidth="1"/>
    <col min="2826" max="3072" width="9.140625" style="55"/>
    <col min="3073" max="3073" width="6" style="55" customWidth="1"/>
    <col min="3074" max="3074" width="11.5703125" style="55" customWidth="1"/>
    <col min="3075" max="3075" width="45.42578125" style="55" customWidth="1"/>
    <col min="3076" max="3076" width="6.140625" style="55" customWidth="1"/>
    <col min="3077" max="3079" width="12.28515625" style="55" customWidth="1"/>
    <col min="3080" max="3080" width="15.140625" style="55" customWidth="1"/>
    <col min="3081" max="3081" width="15" style="55" customWidth="1"/>
    <col min="3082" max="3328" width="9.140625" style="55"/>
    <col min="3329" max="3329" width="6" style="55" customWidth="1"/>
    <col min="3330" max="3330" width="11.5703125" style="55" customWidth="1"/>
    <col min="3331" max="3331" width="45.42578125" style="55" customWidth="1"/>
    <col min="3332" max="3332" width="6.140625" style="55" customWidth="1"/>
    <col min="3333" max="3335" width="12.28515625" style="55" customWidth="1"/>
    <col min="3336" max="3336" width="15.140625" style="55" customWidth="1"/>
    <col min="3337" max="3337" width="15" style="55" customWidth="1"/>
    <col min="3338" max="3584" width="9.140625" style="55"/>
    <col min="3585" max="3585" width="6" style="55" customWidth="1"/>
    <col min="3586" max="3586" width="11.5703125" style="55" customWidth="1"/>
    <col min="3587" max="3587" width="45.42578125" style="55" customWidth="1"/>
    <col min="3588" max="3588" width="6.140625" style="55" customWidth="1"/>
    <col min="3589" max="3591" width="12.28515625" style="55" customWidth="1"/>
    <col min="3592" max="3592" width="15.140625" style="55" customWidth="1"/>
    <col min="3593" max="3593" width="15" style="55" customWidth="1"/>
    <col min="3594" max="3840" width="9.140625" style="55"/>
    <col min="3841" max="3841" width="6" style="55" customWidth="1"/>
    <col min="3842" max="3842" width="11.5703125" style="55" customWidth="1"/>
    <col min="3843" max="3843" width="45.42578125" style="55" customWidth="1"/>
    <col min="3844" max="3844" width="6.140625" style="55" customWidth="1"/>
    <col min="3845" max="3847" width="12.28515625" style="55" customWidth="1"/>
    <col min="3848" max="3848" width="15.140625" style="55" customWidth="1"/>
    <col min="3849" max="3849" width="15" style="55" customWidth="1"/>
    <col min="3850" max="4096" width="9.140625" style="55"/>
    <col min="4097" max="4097" width="6" style="55" customWidth="1"/>
    <col min="4098" max="4098" width="11.5703125" style="55" customWidth="1"/>
    <col min="4099" max="4099" width="45.42578125" style="55" customWidth="1"/>
    <col min="4100" max="4100" width="6.140625" style="55" customWidth="1"/>
    <col min="4101" max="4103" width="12.28515625" style="55" customWidth="1"/>
    <col min="4104" max="4104" width="15.140625" style="55" customWidth="1"/>
    <col min="4105" max="4105" width="15" style="55" customWidth="1"/>
    <col min="4106" max="4352" width="9.140625" style="55"/>
    <col min="4353" max="4353" width="6" style="55" customWidth="1"/>
    <col min="4354" max="4354" width="11.5703125" style="55" customWidth="1"/>
    <col min="4355" max="4355" width="45.42578125" style="55" customWidth="1"/>
    <col min="4356" max="4356" width="6.140625" style="55" customWidth="1"/>
    <col min="4357" max="4359" width="12.28515625" style="55" customWidth="1"/>
    <col min="4360" max="4360" width="15.140625" style="55" customWidth="1"/>
    <col min="4361" max="4361" width="15" style="55" customWidth="1"/>
    <col min="4362" max="4608" width="9.140625" style="55"/>
    <col min="4609" max="4609" width="6" style="55" customWidth="1"/>
    <col min="4610" max="4610" width="11.5703125" style="55" customWidth="1"/>
    <col min="4611" max="4611" width="45.42578125" style="55" customWidth="1"/>
    <col min="4612" max="4612" width="6.140625" style="55" customWidth="1"/>
    <col min="4613" max="4615" width="12.28515625" style="55" customWidth="1"/>
    <col min="4616" max="4616" width="15.140625" style="55" customWidth="1"/>
    <col min="4617" max="4617" width="15" style="55" customWidth="1"/>
    <col min="4618" max="4864" width="9.140625" style="55"/>
    <col min="4865" max="4865" width="6" style="55" customWidth="1"/>
    <col min="4866" max="4866" width="11.5703125" style="55" customWidth="1"/>
    <col min="4867" max="4867" width="45.42578125" style="55" customWidth="1"/>
    <col min="4868" max="4868" width="6.140625" style="55" customWidth="1"/>
    <col min="4869" max="4871" width="12.28515625" style="55" customWidth="1"/>
    <col min="4872" max="4872" width="15.140625" style="55" customWidth="1"/>
    <col min="4873" max="4873" width="15" style="55" customWidth="1"/>
    <col min="4874" max="5120" width="9.140625" style="55"/>
    <col min="5121" max="5121" width="6" style="55" customWidth="1"/>
    <col min="5122" max="5122" width="11.5703125" style="55" customWidth="1"/>
    <col min="5123" max="5123" width="45.42578125" style="55" customWidth="1"/>
    <col min="5124" max="5124" width="6.140625" style="55" customWidth="1"/>
    <col min="5125" max="5127" width="12.28515625" style="55" customWidth="1"/>
    <col min="5128" max="5128" width="15.140625" style="55" customWidth="1"/>
    <col min="5129" max="5129" width="15" style="55" customWidth="1"/>
    <col min="5130" max="5376" width="9.140625" style="55"/>
    <col min="5377" max="5377" width="6" style="55" customWidth="1"/>
    <col min="5378" max="5378" width="11.5703125" style="55" customWidth="1"/>
    <col min="5379" max="5379" width="45.42578125" style="55" customWidth="1"/>
    <col min="5380" max="5380" width="6.140625" style="55" customWidth="1"/>
    <col min="5381" max="5383" width="12.28515625" style="55" customWidth="1"/>
    <col min="5384" max="5384" width="15.140625" style="55" customWidth="1"/>
    <col min="5385" max="5385" width="15" style="55" customWidth="1"/>
    <col min="5386" max="5632" width="9.140625" style="55"/>
    <col min="5633" max="5633" width="6" style="55" customWidth="1"/>
    <col min="5634" max="5634" width="11.5703125" style="55" customWidth="1"/>
    <col min="5635" max="5635" width="45.42578125" style="55" customWidth="1"/>
    <col min="5636" max="5636" width="6.140625" style="55" customWidth="1"/>
    <col min="5637" max="5639" width="12.28515625" style="55" customWidth="1"/>
    <col min="5640" max="5640" width="15.140625" style="55" customWidth="1"/>
    <col min="5641" max="5641" width="15" style="55" customWidth="1"/>
    <col min="5642" max="5888" width="9.140625" style="55"/>
    <col min="5889" max="5889" width="6" style="55" customWidth="1"/>
    <col min="5890" max="5890" width="11.5703125" style="55" customWidth="1"/>
    <col min="5891" max="5891" width="45.42578125" style="55" customWidth="1"/>
    <col min="5892" max="5892" width="6.140625" style="55" customWidth="1"/>
    <col min="5893" max="5895" width="12.28515625" style="55" customWidth="1"/>
    <col min="5896" max="5896" width="15.140625" style="55" customWidth="1"/>
    <col min="5897" max="5897" width="15" style="55" customWidth="1"/>
    <col min="5898" max="6144" width="9.140625" style="55"/>
    <col min="6145" max="6145" width="6" style="55" customWidth="1"/>
    <col min="6146" max="6146" width="11.5703125" style="55" customWidth="1"/>
    <col min="6147" max="6147" width="45.42578125" style="55" customWidth="1"/>
    <col min="6148" max="6148" width="6.140625" style="55" customWidth="1"/>
    <col min="6149" max="6151" width="12.28515625" style="55" customWidth="1"/>
    <col min="6152" max="6152" width="15.140625" style="55" customWidth="1"/>
    <col min="6153" max="6153" width="15" style="55" customWidth="1"/>
    <col min="6154" max="6400" width="9.140625" style="55"/>
    <col min="6401" max="6401" width="6" style="55" customWidth="1"/>
    <col min="6402" max="6402" width="11.5703125" style="55" customWidth="1"/>
    <col min="6403" max="6403" width="45.42578125" style="55" customWidth="1"/>
    <col min="6404" max="6404" width="6.140625" style="55" customWidth="1"/>
    <col min="6405" max="6407" width="12.28515625" style="55" customWidth="1"/>
    <col min="6408" max="6408" width="15.140625" style="55" customWidth="1"/>
    <col min="6409" max="6409" width="15" style="55" customWidth="1"/>
    <col min="6410" max="6656" width="9.140625" style="55"/>
    <col min="6657" max="6657" width="6" style="55" customWidth="1"/>
    <col min="6658" max="6658" width="11.5703125" style="55" customWidth="1"/>
    <col min="6659" max="6659" width="45.42578125" style="55" customWidth="1"/>
    <col min="6660" max="6660" width="6.140625" style="55" customWidth="1"/>
    <col min="6661" max="6663" width="12.28515625" style="55" customWidth="1"/>
    <col min="6664" max="6664" width="15.140625" style="55" customWidth="1"/>
    <col min="6665" max="6665" width="15" style="55" customWidth="1"/>
    <col min="6666" max="6912" width="9.140625" style="55"/>
    <col min="6913" max="6913" width="6" style="55" customWidth="1"/>
    <col min="6914" max="6914" width="11.5703125" style="55" customWidth="1"/>
    <col min="6915" max="6915" width="45.42578125" style="55" customWidth="1"/>
    <col min="6916" max="6916" width="6.140625" style="55" customWidth="1"/>
    <col min="6917" max="6919" width="12.28515625" style="55" customWidth="1"/>
    <col min="6920" max="6920" width="15.140625" style="55" customWidth="1"/>
    <col min="6921" max="6921" width="15" style="55" customWidth="1"/>
    <col min="6922" max="7168" width="9.140625" style="55"/>
    <col min="7169" max="7169" width="6" style="55" customWidth="1"/>
    <col min="7170" max="7170" width="11.5703125" style="55" customWidth="1"/>
    <col min="7171" max="7171" width="45.42578125" style="55" customWidth="1"/>
    <col min="7172" max="7172" width="6.140625" style="55" customWidth="1"/>
    <col min="7173" max="7175" width="12.28515625" style="55" customWidth="1"/>
    <col min="7176" max="7176" width="15.140625" style="55" customWidth="1"/>
    <col min="7177" max="7177" width="15" style="55" customWidth="1"/>
    <col min="7178" max="7424" width="9.140625" style="55"/>
    <col min="7425" max="7425" width="6" style="55" customWidth="1"/>
    <col min="7426" max="7426" width="11.5703125" style="55" customWidth="1"/>
    <col min="7427" max="7427" width="45.42578125" style="55" customWidth="1"/>
    <col min="7428" max="7428" width="6.140625" style="55" customWidth="1"/>
    <col min="7429" max="7431" width="12.28515625" style="55" customWidth="1"/>
    <col min="7432" max="7432" width="15.140625" style="55" customWidth="1"/>
    <col min="7433" max="7433" width="15" style="55" customWidth="1"/>
    <col min="7434" max="7680" width="9.140625" style="55"/>
    <col min="7681" max="7681" width="6" style="55" customWidth="1"/>
    <col min="7682" max="7682" width="11.5703125" style="55" customWidth="1"/>
    <col min="7683" max="7683" width="45.42578125" style="55" customWidth="1"/>
    <col min="7684" max="7684" width="6.140625" style="55" customWidth="1"/>
    <col min="7685" max="7687" width="12.28515625" style="55" customWidth="1"/>
    <col min="7688" max="7688" width="15.140625" style="55" customWidth="1"/>
    <col min="7689" max="7689" width="15" style="55" customWidth="1"/>
    <col min="7690" max="7936" width="9.140625" style="55"/>
    <col min="7937" max="7937" width="6" style="55" customWidth="1"/>
    <col min="7938" max="7938" width="11.5703125" style="55" customWidth="1"/>
    <col min="7939" max="7939" width="45.42578125" style="55" customWidth="1"/>
    <col min="7940" max="7940" width="6.140625" style="55" customWidth="1"/>
    <col min="7941" max="7943" width="12.28515625" style="55" customWidth="1"/>
    <col min="7944" max="7944" width="15.140625" style="55" customWidth="1"/>
    <col min="7945" max="7945" width="15" style="55" customWidth="1"/>
    <col min="7946" max="8192" width="9.140625" style="55"/>
    <col min="8193" max="8193" width="6" style="55" customWidth="1"/>
    <col min="8194" max="8194" width="11.5703125" style="55" customWidth="1"/>
    <col min="8195" max="8195" width="45.42578125" style="55" customWidth="1"/>
    <col min="8196" max="8196" width="6.140625" style="55" customWidth="1"/>
    <col min="8197" max="8199" width="12.28515625" style="55" customWidth="1"/>
    <col min="8200" max="8200" width="15.140625" style="55" customWidth="1"/>
    <col min="8201" max="8201" width="15" style="55" customWidth="1"/>
    <col min="8202" max="8448" width="9.140625" style="55"/>
    <col min="8449" max="8449" width="6" style="55" customWidth="1"/>
    <col min="8450" max="8450" width="11.5703125" style="55" customWidth="1"/>
    <col min="8451" max="8451" width="45.42578125" style="55" customWidth="1"/>
    <col min="8452" max="8452" width="6.140625" style="55" customWidth="1"/>
    <col min="8453" max="8455" width="12.28515625" style="55" customWidth="1"/>
    <col min="8456" max="8456" width="15.140625" style="55" customWidth="1"/>
    <col min="8457" max="8457" width="15" style="55" customWidth="1"/>
    <col min="8458" max="8704" width="9.140625" style="55"/>
    <col min="8705" max="8705" width="6" style="55" customWidth="1"/>
    <col min="8706" max="8706" width="11.5703125" style="55" customWidth="1"/>
    <col min="8707" max="8707" width="45.42578125" style="55" customWidth="1"/>
    <col min="8708" max="8708" width="6.140625" style="55" customWidth="1"/>
    <col min="8709" max="8711" width="12.28515625" style="55" customWidth="1"/>
    <col min="8712" max="8712" width="15.140625" style="55" customWidth="1"/>
    <col min="8713" max="8713" width="15" style="55" customWidth="1"/>
    <col min="8714" max="8960" width="9.140625" style="55"/>
    <col min="8961" max="8961" width="6" style="55" customWidth="1"/>
    <col min="8962" max="8962" width="11.5703125" style="55" customWidth="1"/>
    <col min="8963" max="8963" width="45.42578125" style="55" customWidth="1"/>
    <col min="8964" max="8964" width="6.140625" style="55" customWidth="1"/>
    <col min="8965" max="8967" width="12.28515625" style="55" customWidth="1"/>
    <col min="8968" max="8968" width="15.140625" style="55" customWidth="1"/>
    <col min="8969" max="8969" width="15" style="55" customWidth="1"/>
    <col min="8970" max="9216" width="9.140625" style="55"/>
    <col min="9217" max="9217" width="6" style="55" customWidth="1"/>
    <col min="9218" max="9218" width="11.5703125" style="55" customWidth="1"/>
    <col min="9219" max="9219" width="45.42578125" style="55" customWidth="1"/>
    <col min="9220" max="9220" width="6.140625" style="55" customWidth="1"/>
    <col min="9221" max="9223" width="12.28515625" style="55" customWidth="1"/>
    <col min="9224" max="9224" width="15.140625" style="55" customWidth="1"/>
    <col min="9225" max="9225" width="15" style="55" customWidth="1"/>
    <col min="9226" max="9472" width="9.140625" style="55"/>
    <col min="9473" max="9473" width="6" style="55" customWidth="1"/>
    <col min="9474" max="9474" width="11.5703125" style="55" customWidth="1"/>
    <col min="9475" max="9475" width="45.42578125" style="55" customWidth="1"/>
    <col min="9476" max="9476" width="6.140625" style="55" customWidth="1"/>
    <col min="9477" max="9479" width="12.28515625" style="55" customWidth="1"/>
    <col min="9480" max="9480" width="15.140625" style="55" customWidth="1"/>
    <col min="9481" max="9481" width="15" style="55" customWidth="1"/>
    <col min="9482" max="9728" width="9.140625" style="55"/>
    <col min="9729" max="9729" width="6" style="55" customWidth="1"/>
    <col min="9730" max="9730" width="11.5703125" style="55" customWidth="1"/>
    <col min="9731" max="9731" width="45.42578125" style="55" customWidth="1"/>
    <col min="9732" max="9732" width="6.140625" style="55" customWidth="1"/>
    <col min="9733" max="9735" width="12.28515625" style="55" customWidth="1"/>
    <col min="9736" max="9736" width="15.140625" style="55" customWidth="1"/>
    <col min="9737" max="9737" width="15" style="55" customWidth="1"/>
    <col min="9738" max="9984" width="9.140625" style="55"/>
    <col min="9985" max="9985" width="6" style="55" customWidth="1"/>
    <col min="9986" max="9986" width="11.5703125" style="55" customWidth="1"/>
    <col min="9987" max="9987" width="45.42578125" style="55" customWidth="1"/>
    <col min="9988" max="9988" width="6.140625" style="55" customWidth="1"/>
    <col min="9989" max="9991" width="12.28515625" style="55" customWidth="1"/>
    <col min="9992" max="9992" width="15.140625" style="55" customWidth="1"/>
    <col min="9993" max="9993" width="15" style="55" customWidth="1"/>
    <col min="9994" max="10240" width="9.140625" style="55"/>
    <col min="10241" max="10241" width="6" style="55" customWidth="1"/>
    <col min="10242" max="10242" width="11.5703125" style="55" customWidth="1"/>
    <col min="10243" max="10243" width="45.42578125" style="55" customWidth="1"/>
    <col min="10244" max="10244" width="6.140625" style="55" customWidth="1"/>
    <col min="10245" max="10247" width="12.28515625" style="55" customWidth="1"/>
    <col min="10248" max="10248" width="15.140625" style="55" customWidth="1"/>
    <col min="10249" max="10249" width="15" style="55" customWidth="1"/>
    <col min="10250" max="10496" width="9.140625" style="55"/>
    <col min="10497" max="10497" width="6" style="55" customWidth="1"/>
    <col min="10498" max="10498" width="11.5703125" style="55" customWidth="1"/>
    <col min="10499" max="10499" width="45.42578125" style="55" customWidth="1"/>
    <col min="10500" max="10500" width="6.140625" style="55" customWidth="1"/>
    <col min="10501" max="10503" width="12.28515625" style="55" customWidth="1"/>
    <col min="10504" max="10504" width="15.140625" style="55" customWidth="1"/>
    <col min="10505" max="10505" width="15" style="55" customWidth="1"/>
    <col min="10506" max="10752" width="9.140625" style="55"/>
    <col min="10753" max="10753" width="6" style="55" customWidth="1"/>
    <col min="10754" max="10754" width="11.5703125" style="55" customWidth="1"/>
    <col min="10755" max="10755" width="45.42578125" style="55" customWidth="1"/>
    <col min="10756" max="10756" width="6.140625" style="55" customWidth="1"/>
    <col min="10757" max="10759" width="12.28515625" style="55" customWidth="1"/>
    <col min="10760" max="10760" width="15.140625" style="55" customWidth="1"/>
    <col min="10761" max="10761" width="15" style="55" customWidth="1"/>
    <col min="10762" max="11008" width="9.140625" style="55"/>
    <col min="11009" max="11009" width="6" style="55" customWidth="1"/>
    <col min="11010" max="11010" width="11.5703125" style="55" customWidth="1"/>
    <col min="11011" max="11011" width="45.42578125" style="55" customWidth="1"/>
    <col min="11012" max="11012" width="6.140625" style="55" customWidth="1"/>
    <col min="11013" max="11015" width="12.28515625" style="55" customWidth="1"/>
    <col min="11016" max="11016" width="15.140625" style="55" customWidth="1"/>
    <col min="11017" max="11017" width="15" style="55" customWidth="1"/>
    <col min="11018" max="11264" width="9.140625" style="55"/>
    <col min="11265" max="11265" width="6" style="55" customWidth="1"/>
    <col min="11266" max="11266" width="11.5703125" style="55" customWidth="1"/>
    <col min="11267" max="11267" width="45.42578125" style="55" customWidth="1"/>
    <col min="11268" max="11268" width="6.140625" style="55" customWidth="1"/>
    <col min="11269" max="11271" width="12.28515625" style="55" customWidth="1"/>
    <col min="11272" max="11272" width="15.140625" style="55" customWidth="1"/>
    <col min="11273" max="11273" width="15" style="55" customWidth="1"/>
    <col min="11274" max="11520" width="9.140625" style="55"/>
    <col min="11521" max="11521" width="6" style="55" customWidth="1"/>
    <col min="11522" max="11522" width="11.5703125" style="55" customWidth="1"/>
    <col min="11523" max="11523" width="45.42578125" style="55" customWidth="1"/>
    <col min="11524" max="11524" width="6.140625" style="55" customWidth="1"/>
    <col min="11525" max="11527" width="12.28515625" style="55" customWidth="1"/>
    <col min="11528" max="11528" width="15.140625" style="55" customWidth="1"/>
    <col min="11529" max="11529" width="15" style="55" customWidth="1"/>
    <col min="11530" max="11776" width="9.140625" style="55"/>
    <col min="11777" max="11777" width="6" style="55" customWidth="1"/>
    <col min="11778" max="11778" width="11.5703125" style="55" customWidth="1"/>
    <col min="11779" max="11779" width="45.42578125" style="55" customWidth="1"/>
    <col min="11780" max="11780" width="6.140625" style="55" customWidth="1"/>
    <col min="11781" max="11783" width="12.28515625" style="55" customWidth="1"/>
    <col min="11784" max="11784" width="15.140625" style="55" customWidth="1"/>
    <col min="11785" max="11785" width="15" style="55" customWidth="1"/>
    <col min="11786" max="12032" width="9.140625" style="55"/>
    <col min="12033" max="12033" width="6" style="55" customWidth="1"/>
    <col min="12034" max="12034" width="11.5703125" style="55" customWidth="1"/>
    <col min="12035" max="12035" width="45.42578125" style="55" customWidth="1"/>
    <col min="12036" max="12036" width="6.140625" style="55" customWidth="1"/>
    <col min="12037" max="12039" width="12.28515625" style="55" customWidth="1"/>
    <col min="12040" max="12040" width="15.140625" style="55" customWidth="1"/>
    <col min="12041" max="12041" width="15" style="55" customWidth="1"/>
    <col min="12042" max="12288" width="9.140625" style="55"/>
    <col min="12289" max="12289" width="6" style="55" customWidth="1"/>
    <col min="12290" max="12290" width="11.5703125" style="55" customWidth="1"/>
    <col min="12291" max="12291" width="45.42578125" style="55" customWidth="1"/>
    <col min="12292" max="12292" width="6.140625" style="55" customWidth="1"/>
    <col min="12293" max="12295" width="12.28515625" style="55" customWidth="1"/>
    <col min="12296" max="12296" width="15.140625" style="55" customWidth="1"/>
    <col min="12297" max="12297" width="15" style="55" customWidth="1"/>
    <col min="12298" max="12544" width="9.140625" style="55"/>
    <col min="12545" max="12545" width="6" style="55" customWidth="1"/>
    <col min="12546" max="12546" width="11.5703125" style="55" customWidth="1"/>
    <col min="12547" max="12547" width="45.42578125" style="55" customWidth="1"/>
    <col min="12548" max="12548" width="6.140625" style="55" customWidth="1"/>
    <col min="12549" max="12551" width="12.28515625" style="55" customWidth="1"/>
    <col min="12552" max="12552" width="15.140625" style="55" customWidth="1"/>
    <col min="12553" max="12553" width="15" style="55" customWidth="1"/>
    <col min="12554" max="12800" width="9.140625" style="55"/>
    <col min="12801" max="12801" width="6" style="55" customWidth="1"/>
    <col min="12802" max="12802" width="11.5703125" style="55" customWidth="1"/>
    <col min="12803" max="12803" width="45.42578125" style="55" customWidth="1"/>
    <col min="12804" max="12804" width="6.140625" style="55" customWidth="1"/>
    <col min="12805" max="12807" width="12.28515625" style="55" customWidth="1"/>
    <col min="12808" max="12808" width="15.140625" style="55" customWidth="1"/>
    <col min="12809" max="12809" width="15" style="55" customWidth="1"/>
    <col min="12810" max="13056" width="9.140625" style="55"/>
    <col min="13057" max="13057" width="6" style="55" customWidth="1"/>
    <col min="13058" max="13058" width="11.5703125" style="55" customWidth="1"/>
    <col min="13059" max="13059" width="45.42578125" style="55" customWidth="1"/>
    <col min="13060" max="13060" width="6.140625" style="55" customWidth="1"/>
    <col min="13061" max="13063" width="12.28515625" style="55" customWidth="1"/>
    <col min="13064" max="13064" width="15.140625" style="55" customWidth="1"/>
    <col min="13065" max="13065" width="15" style="55" customWidth="1"/>
    <col min="13066" max="13312" width="9.140625" style="55"/>
    <col min="13313" max="13313" width="6" style="55" customWidth="1"/>
    <col min="13314" max="13314" width="11.5703125" style="55" customWidth="1"/>
    <col min="13315" max="13315" width="45.42578125" style="55" customWidth="1"/>
    <col min="13316" max="13316" width="6.140625" style="55" customWidth="1"/>
    <col min="13317" max="13319" width="12.28515625" style="55" customWidth="1"/>
    <col min="13320" max="13320" width="15.140625" style="55" customWidth="1"/>
    <col min="13321" max="13321" width="15" style="55" customWidth="1"/>
    <col min="13322" max="13568" width="9.140625" style="55"/>
    <col min="13569" max="13569" width="6" style="55" customWidth="1"/>
    <col min="13570" max="13570" width="11.5703125" style="55" customWidth="1"/>
    <col min="13571" max="13571" width="45.42578125" style="55" customWidth="1"/>
    <col min="13572" max="13572" width="6.140625" style="55" customWidth="1"/>
    <col min="13573" max="13575" width="12.28515625" style="55" customWidth="1"/>
    <col min="13576" max="13576" width="15.140625" style="55" customWidth="1"/>
    <col min="13577" max="13577" width="15" style="55" customWidth="1"/>
    <col min="13578" max="13824" width="9.140625" style="55"/>
    <col min="13825" max="13825" width="6" style="55" customWidth="1"/>
    <col min="13826" max="13826" width="11.5703125" style="55" customWidth="1"/>
    <col min="13827" max="13827" width="45.42578125" style="55" customWidth="1"/>
    <col min="13828" max="13828" width="6.140625" style="55" customWidth="1"/>
    <col min="13829" max="13831" width="12.28515625" style="55" customWidth="1"/>
    <col min="13832" max="13832" width="15.140625" style="55" customWidth="1"/>
    <col min="13833" max="13833" width="15" style="55" customWidth="1"/>
    <col min="13834" max="14080" width="9.140625" style="55"/>
    <col min="14081" max="14081" width="6" style="55" customWidth="1"/>
    <col min="14082" max="14082" width="11.5703125" style="55" customWidth="1"/>
    <col min="14083" max="14083" width="45.42578125" style="55" customWidth="1"/>
    <col min="14084" max="14084" width="6.140625" style="55" customWidth="1"/>
    <col min="14085" max="14087" width="12.28515625" style="55" customWidth="1"/>
    <col min="14088" max="14088" width="15.140625" style="55" customWidth="1"/>
    <col min="14089" max="14089" width="15" style="55" customWidth="1"/>
    <col min="14090" max="14336" width="9.140625" style="55"/>
    <col min="14337" max="14337" width="6" style="55" customWidth="1"/>
    <col min="14338" max="14338" width="11.5703125" style="55" customWidth="1"/>
    <col min="14339" max="14339" width="45.42578125" style="55" customWidth="1"/>
    <col min="14340" max="14340" width="6.140625" style="55" customWidth="1"/>
    <col min="14341" max="14343" width="12.28515625" style="55" customWidth="1"/>
    <col min="14344" max="14344" width="15.140625" style="55" customWidth="1"/>
    <col min="14345" max="14345" width="15" style="55" customWidth="1"/>
    <col min="14346" max="14592" width="9.140625" style="55"/>
    <col min="14593" max="14593" width="6" style="55" customWidth="1"/>
    <col min="14594" max="14594" width="11.5703125" style="55" customWidth="1"/>
    <col min="14595" max="14595" width="45.42578125" style="55" customWidth="1"/>
    <col min="14596" max="14596" width="6.140625" style="55" customWidth="1"/>
    <col min="14597" max="14599" width="12.28515625" style="55" customWidth="1"/>
    <col min="14600" max="14600" width="15.140625" style="55" customWidth="1"/>
    <col min="14601" max="14601" width="15" style="55" customWidth="1"/>
    <col min="14602" max="14848" width="9.140625" style="55"/>
    <col min="14849" max="14849" width="6" style="55" customWidth="1"/>
    <col min="14850" max="14850" width="11.5703125" style="55" customWidth="1"/>
    <col min="14851" max="14851" width="45.42578125" style="55" customWidth="1"/>
    <col min="14852" max="14852" width="6.140625" style="55" customWidth="1"/>
    <col min="14853" max="14855" width="12.28515625" style="55" customWidth="1"/>
    <col min="14856" max="14856" width="15.140625" style="55" customWidth="1"/>
    <col min="14857" max="14857" width="15" style="55" customWidth="1"/>
    <col min="14858" max="15104" width="9.140625" style="55"/>
    <col min="15105" max="15105" width="6" style="55" customWidth="1"/>
    <col min="15106" max="15106" width="11.5703125" style="55" customWidth="1"/>
    <col min="15107" max="15107" width="45.42578125" style="55" customWidth="1"/>
    <col min="15108" max="15108" width="6.140625" style="55" customWidth="1"/>
    <col min="15109" max="15111" width="12.28515625" style="55" customWidth="1"/>
    <col min="15112" max="15112" width="15.140625" style="55" customWidth="1"/>
    <col min="15113" max="15113" width="15" style="55" customWidth="1"/>
    <col min="15114" max="15360" width="9.140625" style="55"/>
    <col min="15361" max="15361" width="6" style="55" customWidth="1"/>
    <col min="15362" max="15362" width="11.5703125" style="55" customWidth="1"/>
    <col min="15363" max="15363" width="45.42578125" style="55" customWidth="1"/>
    <col min="15364" max="15364" width="6.140625" style="55" customWidth="1"/>
    <col min="15365" max="15367" width="12.28515625" style="55" customWidth="1"/>
    <col min="15368" max="15368" width="15.140625" style="55" customWidth="1"/>
    <col min="15369" max="15369" width="15" style="55" customWidth="1"/>
    <col min="15370" max="15616" width="9.140625" style="55"/>
    <col min="15617" max="15617" width="6" style="55" customWidth="1"/>
    <col min="15618" max="15618" width="11.5703125" style="55" customWidth="1"/>
    <col min="15619" max="15619" width="45.42578125" style="55" customWidth="1"/>
    <col min="15620" max="15620" width="6.140625" style="55" customWidth="1"/>
    <col min="15621" max="15623" width="12.28515625" style="55" customWidth="1"/>
    <col min="15624" max="15624" width="15.140625" style="55" customWidth="1"/>
    <col min="15625" max="15625" width="15" style="55" customWidth="1"/>
    <col min="15626" max="15872" width="9.140625" style="55"/>
    <col min="15873" max="15873" width="6" style="55" customWidth="1"/>
    <col min="15874" max="15874" width="11.5703125" style="55" customWidth="1"/>
    <col min="15875" max="15875" width="45.42578125" style="55" customWidth="1"/>
    <col min="15876" max="15876" width="6.140625" style="55" customWidth="1"/>
    <col min="15877" max="15879" width="12.28515625" style="55" customWidth="1"/>
    <col min="15880" max="15880" width="15.140625" style="55" customWidth="1"/>
    <col min="15881" max="15881" width="15" style="55" customWidth="1"/>
    <col min="15882" max="16128" width="9.140625" style="55"/>
    <col min="16129" max="16129" width="6" style="55" customWidth="1"/>
    <col min="16130" max="16130" width="11.5703125" style="55" customWidth="1"/>
    <col min="16131" max="16131" width="45.42578125" style="55" customWidth="1"/>
    <col min="16132" max="16132" width="6.140625" style="55" customWidth="1"/>
    <col min="16133" max="16135" width="12.28515625" style="55" customWidth="1"/>
    <col min="16136" max="16136" width="15.140625" style="55" customWidth="1"/>
    <col min="16137" max="16137" width="15" style="55" customWidth="1"/>
    <col min="16138" max="16384" width="9.140625" style="55"/>
  </cols>
  <sheetData>
    <row r="1" spans="1:10" x14ac:dyDescent="0.25">
      <c r="A1" s="55" t="s">
        <v>16</v>
      </c>
    </row>
    <row r="2" spans="1:10" x14ac:dyDescent="0.25">
      <c r="A2" s="55" t="s">
        <v>1</v>
      </c>
    </row>
    <row r="4" spans="1:10" x14ac:dyDescent="0.25">
      <c r="A4" s="273" t="str">
        <f>+'[1]Hộp oto'!A4:I5</f>
        <v>THẺ KHO NGUYÊN VẬT LIỆU</v>
      </c>
      <c r="B4" s="273"/>
      <c r="C4" s="273"/>
      <c r="D4" s="273"/>
      <c r="E4" s="273"/>
      <c r="F4" s="273"/>
      <c r="G4" s="273"/>
      <c r="H4" s="273"/>
      <c r="I4" s="273"/>
    </row>
    <row r="5" spans="1:10" x14ac:dyDescent="0.25">
      <c r="A5" s="273"/>
      <c r="B5" s="273"/>
      <c r="C5" s="273"/>
      <c r="D5" s="273"/>
      <c r="E5" s="273"/>
      <c r="F5" s="273"/>
      <c r="G5" s="273"/>
      <c r="H5" s="273"/>
      <c r="I5" s="273"/>
    </row>
    <row r="7" spans="1:10" ht="33.75" customHeight="1" x14ac:dyDescent="0.25">
      <c r="A7" s="65" t="s">
        <v>3</v>
      </c>
      <c r="B7" s="65" t="s">
        <v>4</v>
      </c>
      <c r="C7" s="4" t="s">
        <v>31</v>
      </c>
      <c r="D7" s="65" t="s">
        <v>5</v>
      </c>
      <c r="E7" s="121" t="s">
        <v>6</v>
      </c>
      <c r="F7" s="114" t="s">
        <v>7</v>
      </c>
      <c r="G7" s="112" t="s">
        <v>8</v>
      </c>
      <c r="H7" s="82" t="s">
        <v>9</v>
      </c>
      <c r="I7" s="82" t="s">
        <v>10</v>
      </c>
    </row>
    <row r="8" spans="1:10" s="90" customFormat="1" ht="18" customHeight="1" x14ac:dyDescent="0.25">
      <c r="A8" s="83"/>
      <c r="B8" s="84"/>
      <c r="C8" s="85" t="s">
        <v>14</v>
      </c>
      <c r="D8" s="61" t="s">
        <v>17</v>
      </c>
      <c r="E8" s="86"/>
      <c r="F8" s="86"/>
      <c r="G8" s="87"/>
      <c r="H8" s="88"/>
      <c r="I8" s="89"/>
    </row>
    <row r="9" spans="1:10" ht="18" customHeight="1" x14ac:dyDescent="0.25">
      <c r="A9" s="58"/>
      <c r="B9" s="59">
        <v>45714</v>
      </c>
      <c r="C9" s="66" t="s">
        <v>70</v>
      </c>
      <c r="D9" s="61" t="s">
        <v>19</v>
      </c>
      <c r="E9" s="62">
        <v>53.6</v>
      </c>
      <c r="F9" s="62"/>
      <c r="G9" s="91">
        <f>+G8+E9-F9</f>
        <v>53.6</v>
      </c>
      <c r="H9" s="92"/>
      <c r="I9" s="92"/>
      <c r="J9" s="55" t="s">
        <v>18</v>
      </c>
    </row>
    <row r="10" spans="1:10" ht="18" customHeight="1" x14ac:dyDescent="0.25">
      <c r="A10" s="58"/>
      <c r="B10" s="59">
        <v>45715</v>
      </c>
      <c r="C10" s="66" t="s">
        <v>70</v>
      </c>
      <c r="D10" s="61"/>
      <c r="E10" s="62"/>
      <c r="F10" s="93">
        <v>4.0999999999999996</v>
      </c>
      <c r="G10" s="91">
        <f t="shared" ref="G10:G79" si="0">+G9+E10-F10</f>
        <v>49.5</v>
      </c>
      <c r="H10" s="92"/>
      <c r="I10" s="92"/>
    </row>
    <row r="11" spans="1:10" ht="18" customHeight="1" x14ac:dyDescent="0.25">
      <c r="A11" s="58"/>
      <c r="B11" s="70">
        <v>45730</v>
      </c>
      <c r="C11" s="66"/>
      <c r="D11" s="61"/>
      <c r="E11" s="62"/>
      <c r="F11" s="93">
        <v>11.5</v>
      </c>
      <c r="G11" s="91">
        <f t="shared" si="0"/>
        <v>38</v>
      </c>
      <c r="H11" s="92"/>
      <c r="I11" s="92"/>
    </row>
    <row r="12" spans="1:10" ht="18" customHeight="1" x14ac:dyDescent="0.25">
      <c r="A12" s="58"/>
      <c r="B12" s="70">
        <v>45769</v>
      </c>
      <c r="C12" s="66"/>
      <c r="D12" s="61"/>
      <c r="E12" s="62"/>
      <c r="F12" s="93">
        <v>1.8</v>
      </c>
      <c r="G12" s="91">
        <f t="shared" si="0"/>
        <v>36.200000000000003</v>
      </c>
      <c r="H12" s="92"/>
      <c r="I12" s="92"/>
    </row>
    <row r="13" spans="1:10" ht="18" customHeight="1" x14ac:dyDescent="0.25">
      <c r="A13" s="58"/>
      <c r="B13" s="70">
        <v>45770</v>
      </c>
      <c r="C13" s="66"/>
      <c r="D13" s="61"/>
      <c r="E13" s="62"/>
      <c r="F13" s="93">
        <v>4.0999999999999996</v>
      </c>
      <c r="G13" s="91">
        <f t="shared" si="0"/>
        <v>32.1</v>
      </c>
      <c r="H13" s="92"/>
      <c r="I13" s="92"/>
    </row>
    <row r="14" spans="1:10" ht="18" customHeight="1" x14ac:dyDescent="0.25">
      <c r="A14" s="58"/>
      <c r="B14" s="59">
        <v>45771</v>
      </c>
      <c r="C14" s="66"/>
      <c r="D14" s="61"/>
      <c r="E14" s="62"/>
      <c r="F14" s="93">
        <v>1</v>
      </c>
      <c r="G14" s="91">
        <f t="shared" si="0"/>
        <v>31.1</v>
      </c>
      <c r="H14" s="92" t="s">
        <v>100</v>
      </c>
      <c r="I14" s="92"/>
    </row>
    <row r="15" spans="1:10" ht="18" customHeight="1" x14ac:dyDescent="0.25">
      <c r="A15" s="58"/>
      <c r="B15" s="59">
        <v>45772</v>
      </c>
      <c r="C15" s="66"/>
      <c r="D15" s="61"/>
      <c r="E15" s="62"/>
      <c r="F15" s="93">
        <f>1.2+1</f>
        <v>2.2000000000000002</v>
      </c>
      <c r="G15" s="91">
        <f t="shared" si="0"/>
        <v>28.900000000000002</v>
      </c>
      <c r="H15" s="92"/>
      <c r="I15" s="92"/>
    </row>
    <row r="16" spans="1:10" ht="18" customHeight="1" x14ac:dyDescent="0.25">
      <c r="A16" s="58"/>
      <c r="B16" s="59">
        <v>45773</v>
      </c>
      <c r="C16" s="66"/>
      <c r="D16" s="61"/>
      <c r="E16" s="62">
        <v>83</v>
      </c>
      <c r="F16" s="93"/>
      <c r="G16" s="91">
        <f t="shared" si="0"/>
        <v>111.9</v>
      </c>
      <c r="H16" s="92"/>
      <c r="I16" s="92"/>
    </row>
    <row r="17" spans="1:15" ht="18" customHeight="1" x14ac:dyDescent="0.25">
      <c r="A17" s="58"/>
      <c r="B17" s="59">
        <v>45791</v>
      </c>
      <c r="C17" s="66"/>
      <c r="D17" s="61"/>
      <c r="E17" s="62"/>
      <c r="F17" s="93">
        <v>2.7</v>
      </c>
      <c r="G17" s="91">
        <f t="shared" si="0"/>
        <v>109.2</v>
      </c>
      <c r="H17" s="92"/>
      <c r="I17" s="92"/>
    </row>
    <row r="18" spans="1:15" ht="18" customHeight="1" x14ac:dyDescent="0.25">
      <c r="A18" s="58"/>
      <c r="B18" s="59">
        <v>45791</v>
      </c>
      <c r="C18" s="66"/>
      <c r="D18" s="61"/>
      <c r="E18" s="62"/>
      <c r="F18" s="93">
        <v>8.5</v>
      </c>
      <c r="G18" s="91">
        <f t="shared" si="0"/>
        <v>100.7</v>
      </c>
      <c r="H18" s="92"/>
      <c r="I18" s="92"/>
    </row>
    <row r="19" spans="1:15" ht="18" customHeight="1" x14ac:dyDescent="0.25">
      <c r="A19" s="58"/>
      <c r="B19" s="59">
        <v>45792</v>
      </c>
      <c r="C19" s="66"/>
      <c r="D19" s="61"/>
      <c r="E19" s="62"/>
      <c r="F19" s="93">
        <v>2.8</v>
      </c>
      <c r="G19" s="91">
        <f t="shared" si="0"/>
        <v>97.9</v>
      </c>
      <c r="H19" s="92"/>
      <c r="I19" s="92"/>
    </row>
    <row r="20" spans="1:15" ht="18" customHeight="1" x14ac:dyDescent="0.25">
      <c r="A20" s="58"/>
      <c r="B20" s="59">
        <v>45798</v>
      </c>
      <c r="C20" s="66"/>
      <c r="D20" s="61"/>
      <c r="E20" s="62"/>
      <c r="F20" s="93">
        <v>5</v>
      </c>
      <c r="G20" s="91">
        <f t="shared" si="0"/>
        <v>92.9</v>
      </c>
      <c r="H20" s="92"/>
      <c r="I20" s="92"/>
      <c r="J20" s="72"/>
    </row>
    <row r="21" spans="1:15" ht="18" customHeight="1" x14ac:dyDescent="0.25">
      <c r="A21" s="58"/>
      <c r="B21" s="94">
        <v>45806</v>
      </c>
      <c r="C21" s="66"/>
      <c r="D21" s="61"/>
      <c r="E21" s="62"/>
      <c r="F21" s="62">
        <v>6</v>
      </c>
      <c r="G21" s="91">
        <f t="shared" si="0"/>
        <v>86.9</v>
      </c>
      <c r="H21" s="92"/>
      <c r="I21" s="92"/>
      <c r="J21" s="72"/>
    </row>
    <row r="22" spans="1:15" ht="18" customHeight="1" x14ac:dyDescent="0.25">
      <c r="A22" s="58"/>
      <c r="B22" s="59">
        <v>45929</v>
      </c>
      <c r="C22" s="66"/>
      <c r="D22" s="61"/>
      <c r="E22" s="62"/>
      <c r="F22" s="93">
        <f>13.8-5.6</f>
        <v>8.2000000000000011</v>
      </c>
      <c r="G22" s="91">
        <f t="shared" si="0"/>
        <v>78.7</v>
      </c>
      <c r="H22" s="92"/>
      <c r="I22" s="92"/>
      <c r="J22" s="72"/>
      <c r="O22" s="55">
        <f>2*16+10</f>
        <v>42</v>
      </c>
    </row>
    <row r="23" spans="1:15" ht="18" customHeight="1" x14ac:dyDescent="0.25">
      <c r="A23" s="58"/>
      <c r="B23" s="59">
        <v>45930</v>
      </c>
      <c r="C23" s="66"/>
      <c r="D23" s="61"/>
      <c r="E23" s="62"/>
      <c r="F23" s="93">
        <v>7.2</v>
      </c>
      <c r="G23" s="91">
        <f t="shared" si="0"/>
        <v>71.5</v>
      </c>
      <c r="H23" s="92"/>
      <c r="I23" s="92"/>
      <c r="J23" s="72"/>
    </row>
    <row r="24" spans="1:15" ht="18" customHeight="1" x14ac:dyDescent="0.25">
      <c r="A24" s="58"/>
      <c r="B24" s="59">
        <v>45934</v>
      </c>
      <c r="C24" s="66"/>
      <c r="D24" s="61"/>
      <c r="E24" s="62"/>
      <c r="F24" s="93">
        <v>7.6</v>
      </c>
      <c r="G24" s="91">
        <f t="shared" si="0"/>
        <v>63.9</v>
      </c>
      <c r="H24" s="92"/>
      <c r="I24" s="92"/>
      <c r="J24" s="72"/>
    </row>
    <row r="25" spans="1:15" ht="18" customHeight="1" x14ac:dyDescent="0.25">
      <c r="A25" s="58"/>
      <c r="B25" s="59"/>
      <c r="C25" s="66"/>
      <c r="D25" s="61"/>
      <c r="E25" s="62"/>
      <c r="F25" s="93"/>
      <c r="G25" s="91">
        <f t="shared" si="0"/>
        <v>63.9</v>
      </c>
      <c r="H25" s="92"/>
      <c r="I25" s="92"/>
      <c r="J25" s="72"/>
    </row>
    <row r="26" spans="1:15" ht="18" customHeight="1" x14ac:dyDescent="0.25">
      <c r="A26" s="58"/>
      <c r="B26" s="94"/>
      <c r="C26" s="66"/>
      <c r="D26" s="61"/>
      <c r="E26" s="62"/>
      <c r="F26" s="62"/>
      <c r="G26" s="91">
        <f t="shared" si="0"/>
        <v>63.9</v>
      </c>
      <c r="H26" s="92"/>
      <c r="I26" s="92"/>
      <c r="J26" s="72"/>
    </row>
    <row r="27" spans="1:15" ht="18" customHeight="1" x14ac:dyDescent="0.25">
      <c r="A27" s="58"/>
      <c r="B27" s="94"/>
      <c r="C27" s="66"/>
      <c r="D27" s="61"/>
      <c r="E27" s="62"/>
      <c r="F27" s="93"/>
      <c r="G27" s="91">
        <f t="shared" si="0"/>
        <v>63.9</v>
      </c>
      <c r="H27" s="92"/>
      <c r="I27" s="92"/>
      <c r="J27" s="72"/>
    </row>
    <row r="28" spans="1:15" ht="18" customHeight="1" x14ac:dyDescent="0.25">
      <c r="A28" s="58"/>
      <c r="B28" s="94"/>
      <c r="C28" s="66"/>
      <c r="D28" s="61"/>
      <c r="E28" s="62"/>
      <c r="F28" s="93"/>
      <c r="G28" s="91">
        <f t="shared" si="0"/>
        <v>63.9</v>
      </c>
      <c r="H28" s="92"/>
      <c r="I28" s="92"/>
      <c r="J28" s="72"/>
    </row>
    <row r="29" spans="1:15" ht="18" customHeight="1" x14ac:dyDescent="0.25">
      <c r="A29" s="58"/>
      <c r="B29" s="94"/>
      <c r="C29" s="66"/>
      <c r="D29" s="61"/>
      <c r="E29" s="62"/>
      <c r="F29" s="93"/>
      <c r="G29" s="91">
        <f t="shared" si="0"/>
        <v>63.9</v>
      </c>
      <c r="H29" s="92"/>
      <c r="I29" s="92"/>
    </row>
    <row r="30" spans="1:15" ht="18" customHeight="1" x14ac:dyDescent="0.25">
      <c r="A30" s="58"/>
      <c r="B30" s="94"/>
      <c r="C30" s="66"/>
      <c r="D30" s="61"/>
      <c r="E30" s="62"/>
      <c r="F30" s="93"/>
      <c r="G30" s="91">
        <f t="shared" si="0"/>
        <v>63.9</v>
      </c>
      <c r="H30" s="92"/>
      <c r="I30" s="92"/>
    </row>
    <row r="31" spans="1:15" ht="18" customHeight="1" x14ac:dyDescent="0.25">
      <c r="A31" s="58"/>
      <c r="B31" s="59"/>
      <c r="C31" s="66"/>
      <c r="D31" s="61"/>
      <c r="E31" s="62"/>
      <c r="F31" s="93"/>
      <c r="G31" s="91">
        <f t="shared" si="0"/>
        <v>63.9</v>
      </c>
      <c r="H31" s="92"/>
      <c r="I31" s="92"/>
    </row>
    <row r="32" spans="1:15" s="98" customFormat="1" ht="18" customHeight="1" x14ac:dyDescent="0.25">
      <c r="A32" s="96"/>
      <c r="B32" s="97"/>
      <c r="C32" s="66"/>
      <c r="D32" s="61"/>
      <c r="E32" s="122"/>
      <c r="F32" s="115"/>
      <c r="G32" s="160">
        <f t="shared" si="0"/>
        <v>63.9</v>
      </c>
      <c r="H32" s="92"/>
      <c r="I32" s="92"/>
    </row>
    <row r="33" spans="1:9" ht="18" customHeight="1" x14ac:dyDescent="0.25">
      <c r="A33" s="58"/>
      <c r="B33" s="59"/>
      <c r="C33" s="66"/>
      <c r="D33" s="61"/>
      <c r="E33" s="62"/>
      <c r="F33" s="93"/>
      <c r="G33" s="91">
        <f t="shared" si="0"/>
        <v>63.9</v>
      </c>
      <c r="H33" s="92"/>
      <c r="I33" s="92"/>
    </row>
    <row r="34" spans="1:9" ht="18" customHeight="1" x14ac:dyDescent="0.25">
      <c r="A34" s="58"/>
      <c r="B34" s="59"/>
      <c r="C34" s="66"/>
      <c r="D34" s="61"/>
      <c r="E34" s="62"/>
      <c r="F34" s="62"/>
      <c r="G34" s="91">
        <f t="shared" si="0"/>
        <v>63.9</v>
      </c>
      <c r="H34" s="92"/>
      <c r="I34" s="92"/>
    </row>
    <row r="35" spans="1:9" ht="18" customHeight="1" x14ac:dyDescent="0.25">
      <c r="A35" s="58"/>
      <c r="B35" s="59"/>
      <c r="C35" s="66"/>
      <c r="D35" s="61"/>
      <c r="E35" s="62"/>
      <c r="F35" s="62"/>
      <c r="G35" s="91">
        <f t="shared" si="0"/>
        <v>63.9</v>
      </c>
      <c r="H35" s="92"/>
      <c r="I35" s="92"/>
    </row>
    <row r="36" spans="1:9" ht="18" customHeight="1" x14ac:dyDescent="0.25">
      <c r="A36" s="58"/>
      <c r="B36" s="59"/>
      <c r="C36" s="66"/>
      <c r="D36" s="61"/>
      <c r="E36" s="62"/>
      <c r="F36" s="62"/>
      <c r="G36" s="91">
        <f t="shared" si="0"/>
        <v>63.9</v>
      </c>
      <c r="H36" s="92"/>
      <c r="I36" s="92"/>
    </row>
    <row r="37" spans="1:9" ht="18" customHeight="1" x14ac:dyDescent="0.25">
      <c r="A37" s="58"/>
      <c r="B37" s="59"/>
      <c r="C37" s="66"/>
      <c r="D37" s="61"/>
      <c r="E37" s="62"/>
      <c r="F37" s="62"/>
      <c r="G37" s="91">
        <f t="shared" si="0"/>
        <v>63.9</v>
      </c>
      <c r="H37" s="92"/>
      <c r="I37" s="92"/>
    </row>
    <row r="38" spans="1:9" ht="18" customHeight="1" x14ac:dyDescent="0.25">
      <c r="A38" s="58"/>
      <c r="B38" s="59"/>
      <c r="C38" s="66"/>
      <c r="D38" s="61"/>
      <c r="E38" s="62"/>
      <c r="F38" s="62"/>
      <c r="G38" s="91">
        <f t="shared" si="0"/>
        <v>63.9</v>
      </c>
      <c r="H38" s="92"/>
      <c r="I38" s="92"/>
    </row>
    <row r="39" spans="1:9" ht="18" customHeight="1" x14ac:dyDescent="0.25">
      <c r="A39" s="58"/>
      <c r="B39" s="59"/>
      <c r="C39" s="66"/>
      <c r="D39" s="61"/>
      <c r="E39" s="62"/>
      <c r="F39" s="62"/>
      <c r="G39" s="91">
        <f t="shared" si="0"/>
        <v>63.9</v>
      </c>
      <c r="H39" s="92"/>
      <c r="I39" s="92"/>
    </row>
    <row r="40" spans="1:9" ht="18" customHeight="1" x14ac:dyDescent="0.25">
      <c r="A40" s="58"/>
      <c r="B40" s="59"/>
      <c r="C40" s="66"/>
      <c r="D40" s="61"/>
      <c r="E40" s="62"/>
      <c r="F40" s="62"/>
      <c r="G40" s="91">
        <f t="shared" si="0"/>
        <v>63.9</v>
      </c>
      <c r="H40" s="92"/>
      <c r="I40" s="92"/>
    </row>
    <row r="41" spans="1:9" ht="18" customHeight="1" x14ac:dyDescent="0.25">
      <c r="A41" s="58"/>
      <c r="B41" s="59"/>
      <c r="C41" s="66"/>
      <c r="D41" s="61"/>
      <c r="E41" s="62"/>
      <c r="F41" s="62"/>
      <c r="G41" s="91">
        <f t="shared" si="0"/>
        <v>63.9</v>
      </c>
      <c r="H41" s="92"/>
      <c r="I41" s="92"/>
    </row>
    <row r="42" spans="1:9" ht="18" customHeight="1" x14ac:dyDescent="0.25">
      <c r="A42" s="58"/>
      <c r="B42" s="59"/>
      <c r="C42" s="66"/>
      <c r="D42" s="61"/>
      <c r="E42" s="62"/>
      <c r="F42" s="62"/>
      <c r="G42" s="91">
        <f t="shared" si="0"/>
        <v>63.9</v>
      </c>
      <c r="H42" s="92"/>
      <c r="I42" s="92"/>
    </row>
    <row r="43" spans="1:9" ht="18" customHeight="1" x14ac:dyDescent="0.25">
      <c r="A43" s="58"/>
      <c r="B43" s="59"/>
      <c r="C43" s="66"/>
      <c r="D43" s="61"/>
      <c r="E43" s="62"/>
      <c r="F43" s="62"/>
      <c r="G43" s="91">
        <f t="shared" si="0"/>
        <v>63.9</v>
      </c>
      <c r="H43" s="92"/>
      <c r="I43" s="92"/>
    </row>
    <row r="44" spans="1:9" ht="18" customHeight="1" x14ac:dyDescent="0.25">
      <c r="A44" s="58"/>
      <c r="B44" s="59"/>
      <c r="C44" s="66"/>
      <c r="D44" s="61"/>
      <c r="E44" s="62"/>
      <c r="F44" s="62"/>
      <c r="G44" s="91">
        <f t="shared" si="0"/>
        <v>63.9</v>
      </c>
      <c r="H44" s="92"/>
      <c r="I44" s="92"/>
    </row>
    <row r="45" spans="1:9" ht="18" customHeight="1" x14ac:dyDescent="0.25">
      <c r="A45" s="58"/>
      <c r="B45" s="59"/>
      <c r="C45" s="66"/>
      <c r="D45" s="61"/>
      <c r="E45" s="62"/>
      <c r="F45" s="99"/>
      <c r="G45" s="91">
        <f t="shared" si="0"/>
        <v>63.9</v>
      </c>
      <c r="H45" s="92"/>
      <c r="I45" s="92"/>
    </row>
    <row r="46" spans="1:9" ht="18" customHeight="1" x14ac:dyDescent="0.25">
      <c r="A46" s="58"/>
      <c r="B46" s="59"/>
      <c r="C46" s="66"/>
      <c r="D46" s="61"/>
      <c r="E46" s="62"/>
      <c r="F46" s="99"/>
      <c r="G46" s="91">
        <f t="shared" si="0"/>
        <v>63.9</v>
      </c>
      <c r="H46" s="92"/>
      <c r="I46" s="92"/>
    </row>
    <row r="47" spans="1:9" ht="18" customHeight="1" x14ac:dyDescent="0.25">
      <c r="A47" s="58"/>
      <c r="B47" s="59"/>
      <c r="C47" s="66"/>
      <c r="D47" s="61"/>
      <c r="E47" s="62"/>
      <c r="F47" s="99"/>
      <c r="G47" s="91">
        <f t="shared" si="0"/>
        <v>63.9</v>
      </c>
      <c r="H47" s="92"/>
      <c r="I47" s="92"/>
    </row>
    <row r="48" spans="1:9" ht="18" customHeight="1" x14ac:dyDescent="0.25">
      <c r="A48" s="58"/>
      <c r="B48" s="59"/>
      <c r="C48" s="66"/>
      <c r="D48" s="61"/>
      <c r="E48" s="62"/>
      <c r="F48" s="99"/>
      <c r="G48" s="91">
        <f t="shared" si="0"/>
        <v>63.9</v>
      </c>
      <c r="H48" s="92"/>
      <c r="I48" s="92"/>
    </row>
    <row r="49" spans="1:9" ht="18" customHeight="1" x14ac:dyDescent="0.25">
      <c r="A49" s="58"/>
      <c r="B49" s="59"/>
      <c r="C49" s="66"/>
      <c r="D49" s="61"/>
      <c r="E49" s="62"/>
      <c r="F49" s="99"/>
      <c r="G49" s="91">
        <f t="shared" si="0"/>
        <v>63.9</v>
      </c>
      <c r="H49" s="92"/>
      <c r="I49" s="92"/>
    </row>
    <row r="50" spans="1:9" ht="18" customHeight="1" x14ac:dyDescent="0.25">
      <c r="A50" s="58"/>
      <c r="B50" s="59"/>
      <c r="C50" s="66"/>
      <c r="D50" s="61"/>
      <c r="E50" s="62"/>
      <c r="F50" s="99"/>
      <c r="G50" s="91">
        <f t="shared" si="0"/>
        <v>63.9</v>
      </c>
      <c r="H50" s="92"/>
      <c r="I50" s="92"/>
    </row>
    <row r="51" spans="1:9" ht="18" customHeight="1" x14ac:dyDescent="0.25">
      <c r="A51" s="58"/>
      <c r="B51" s="59"/>
      <c r="C51" s="66"/>
      <c r="D51" s="61"/>
      <c r="E51" s="62"/>
      <c r="F51" s="99"/>
      <c r="G51" s="91">
        <f t="shared" si="0"/>
        <v>63.9</v>
      </c>
      <c r="H51" s="92"/>
      <c r="I51" s="92"/>
    </row>
    <row r="52" spans="1:9" ht="18" customHeight="1" x14ac:dyDescent="0.25">
      <c r="A52" s="58"/>
      <c r="B52" s="59"/>
      <c r="C52" s="66"/>
      <c r="D52" s="61"/>
      <c r="E52" s="62"/>
      <c r="F52" s="99"/>
      <c r="G52" s="91">
        <f t="shared" si="0"/>
        <v>63.9</v>
      </c>
      <c r="H52" s="92"/>
      <c r="I52" s="92"/>
    </row>
    <row r="53" spans="1:9" ht="18" customHeight="1" x14ac:dyDescent="0.25">
      <c r="A53" s="58"/>
      <c r="B53" s="59"/>
      <c r="C53" s="66"/>
      <c r="D53" s="61"/>
      <c r="E53" s="62"/>
      <c r="F53" s="99"/>
      <c r="G53" s="91">
        <f t="shared" si="0"/>
        <v>63.9</v>
      </c>
      <c r="H53" s="92"/>
      <c r="I53" s="92"/>
    </row>
    <row r="54" spans="1:9" ht="18" customHeight="1" x14ac:dyDescent="0.25">
      <c r="A54" s="58"/>
      <c r="B54" s="59"/>
      <c r="C54" s="66"/>
      <c r="D54" s="61"/>
      <c r="E54" s="62"/>
      <c r="F54" s="99"/>
      <c r="G54" s="91">
        <f t="shared" si="0"/>
        <v>63.9</v>
      </c>
      <c r="H54" s="92"/>
      <c r="I54" s="92"/>
    </row>
    <row r="55" spans="1:9" ht="18" customHeight="1" x14ac:dyDescent="0.25">
      <c r="A55" s="58"/>
      <c r="B55" s="59"/>
      <c r="C55" s="66"/>
      <c r="D55" s="61"/>
      <c r="E55" s="62"/>
      <c r="F55" s="99"/>
      <c r="G55" s="91">
        <f t="shared" si="0"/>
        <v>63.9</v>
      </c>
      <c r="H55" s="92"/>
      <c r="I55" s="92"/>
    </row>
    <row r="56" spans="1:9" ht="18" customHeight="1" x14ac:dyDescent="0.25">
      <c r="A56" s="58"/>
      <c r="B56" s="59"/>
      <c r="C56" s="66"/>
      <c r="D56" s="61"/>
      <c r="E56" s="62"/>
      <c r="F56" s="99"/>
      <c r="G56" s="91">
        <f t="shared" si="0"/>
        <v>63.9</v>
      </c>
      <c r="H56" s="92"/>
      <c r="I56" s="92"/>
    </row>
    <row r="57" spans="1:9" ht="18" customHeight="1" x14ac:dyDescent="0.25">
      <c r="A57" s="58"/>
      <c r="B57" s="59"/>
      <c r="C57" s="66"/>
      <c r="D57" s="61"/>
      <c r="E57" s="62"/>
      <c r="F57" s="99"/>
      <c r="G57" s="91">
        <f t="shared" si="0"/>
        <v>63.9</v>
      </c>
      <c r="H57" s="92"/>
      <c r="I57" s="92"/>
    </row>
    <row r="58" spans="1:9" ht="18" customHeight="1" x14ac:dyDescent="0.25">
      <c r="A58" s="58"/>
      <c r="B58" s="59"/>
      <c r="C58" s="66"/>
      <c r="D58" s="61"/>
      <c r="E58" s="62"/>
      <c r="F58" s="99"/>
      <c r="G58" s="91">
        <f t="shared" si="0"/>
        <v>63.9</v>
      </c>
      <c r="H58" s="92"/>
      <c r="I58" s="92"/>
    </row>
    <row r="59" spans="1:9" ht="18" customHeight="1" x14ac:dyDescent="0.25">
      <c r="A59" s="58"/>
      <c r="B59" s="59"/>
      <c r="C59" s="66"/>
      <c r="D59" s="61"/>
      <c r="E59" s="62"/>
      <c r="F59" s="99"/>
      <c r="G59" s="91">
        <f t="shared" si="0"/>
        <v>63.9</v>
      </c>
      <c r="H59" s="92"/>
      <c r="I59" s="92"/>
    </row>
    <row r="60" spans="1:9" ht="18" customHeight="1" x14ac:dyDescent="0.25">
      <c r="A60" s="58"/>
      <c r="B60" s="59"/>
      <c r="C60" s="66"/>
      <c r="D60" s="61"/>
      <c r="E60" s="62"/>
      <c r="F60" s="99"/>
      <c r="G60" s="91">
        <f t="shared" si="0"/>
        <v>63.9</v>
      </c>
      <c r="H60" s="92"/>
      <c r="I60" s="92"/>
    </row>
    <row r="61" spans="1:9" ht="18" customHeight="1" x14ac:dyDescent="0.25">
      <c r="A61" s="58"/>
      <c r="B61" s="59"/>
      <c r="C61" s="66"/>
      <c r="D61" s="61"/>
      <c r="E61" s="62"/>
      <c r="F61" s="99"/>
      <c r="G61" s="91">
        <f t="shared" si="0"/>
        <v>63.9</v>
      </c>
      <c r="H61" s="92"/>
      <c r="I61" s="92"/>
    </row>
    <row r="62" spans="1:9" ht="18" customHeight="1" x14ac:dyDescent="0.25">
      <c r="A62" s="58"/>
      <c r="B62" s="59"/>
      <c r="C62" s="66"/>
      <c r="D62" s="61"/>
      <c r="E62" s="62"/>
      <c r="F62" s="99"/>
      <c r="G62" s="91">
        <f t="shared" si="0"/>
        <v>63.9</v>
      </c>
      <c r="H62" s="92"/>
      <c r="I62" s="92"/>
    </row>
    <row r="63" spans="1:9" ht="18" customHeight="1" x14ac:dyDescent="0.25">
      <c r="A63" s="58"/>
      <c r="B63" s="59"/>
      <c r="C63" s="66"/>
      <c r="D63" s="61"/>
      <c r="E63" s="62"/>
      <c r="F63" s="116"/>
      <c r="G63" s="91">
        <f t="shared" si="0"/>
        <v>63.9</v>
      </c>
      <c r="H63" s="92"/>
      <c r="I63" s="92"/>
    </row>
    <row r="64" spans="1:9" ht="18" customHeight="1" x14ac:dyDescent="0.25">
      <c r="A64" s="58"/>
      <c r="B64" s="59"/>
      <c r="C64" s="66"/>
      <c r="D64" s="61"/>
      <c r="E64" s="62"/>
      <c r="F64" s="116"/>
      <c r="G64" s="91">
        <f t="shared" si="0"/>
        <v>63.9</v>
      </c>
      <c r="H64" s="92"/>
      <c r="I64" s="92"/>
    </row>
    <row r="65" spans="1:9" ht="18" customHeight="1" x14ac:dyDescent="0.25">
      <c r="A65" s="58"/>
      <c r="B65" s="59"/>
      <c r="C65" s="66"/>
      <c r="D65" s="61"/>
      <c r="E65" s="62"/>
      <c r="F65" s="116"/>
      <c r="G65" s="91">
        <f t="shared" si="0"/>
        <v>63.9</v>
      </c>
      <c r="H65" s="92"/>
      <c r="I65" s="92"/>
    </row>
    <row r="66" spans="1:9" ht="18" customHeight="1" x14ac:dyDescent="0.25">
      <c r="A66" s="58"/>
      <c r="B66" s="59"/>
      <c r="C66" s="66"/>
      <c r="D66" s="61"/>
      <c r="E66" s="62"/>
      <c r="F66" s="116"/>
      <c r="G66" s="91">
        <f t="shared" si="0"/>
        <v>63.9</v>
      </c>
      <c r="H66" s="92"/>
      <c r="I66" s="92"/>
    </row>
    <row r="67" spans="1:9" ht="18" customHeight="1" x14ac:dyDescent="0.25">
      <c r="A67" s="58"/>
      <c r="B67" s="59"/>
      <c r="C67" s="66"/>
      <c r="D67" s="61"/>
      <c r="E67" s="62"/>
      <c r="F67" s="116"/>
      <c r="G67" s="91">
        <f t="shared" si="0"/>
        <v>63.9</v>
      </c>
      <c r="H67" s="92"/>
      <c r="I67" s="92"/>
    </row>
    <row r="68" spans="1:9" ht="18" customHeight="1" x14ac:dyDescent="0.25">
      <c r="A68" s="58"/>
      <c r="B68" s="59"/>
      <c r="C68" s="66"/>
      <c r="D68" s="61"/>
      <c r="E68" s="62"/>
      <c r="F68" s="116"/>
      <c r="G68" s="91">
        <f t="shared" si="0"/>
        <v>63.9</v>
      </c>
      <c r="H68" s="92"/>
      <c r="I68" s="92"/>
    </row>
    <row r="69" spans="1:9" ht="18" customHeight="1" x14ac:dyDescent="0.25">
      <c r="A69" s="58"/>
      <c r="B69" s="59"/>
      <c r="C69" s="66"/>
      <c r="D69" s="61"/>
      <c r="E69" s="62"/>
      <c r="F69" s="116"/>
      <c r="G69" s="91">
        <f t="shared" si="0"/>
        <v>63.9</v>
      </c>
      <c r="H69" s="92"/>
      <c r="I69" s="92"/>
    </row>
    <row r="70" spans="1:9" ht="18" customHeight="1" x14ac:dyDescent="0.25">
      <c r="A70" s="58"/>
      <c r="B70" s="59"/>
      <c r="C70" s="66"/>
      <c r="D70" s="61"/>
      <c r="E70" s="62"/>
      <c r="F70" s="116"/>
      <c r="G70" s="91">
        <f t="shared" si="0"/>
        <v>63.9</v>
      </c>
      <c r="H70" s="92"/>
      <c r="I70" s="92"/>
    </row>
    <row r="71" spans="1:9" ht="18" customHeight="1" x14ac:dyDescent="0.25">
      <c r="A71" s="58"/>
      <c r="B71" s="59"/>
      <c r="C71" s="66"/>
      <c r="D71" s="61"/>
      <c r="E71" s="62"/>
      <c r="F71" s="116"/>
      <c r="G71" s="91">
        <f t="shared" si="0"/>
        <v>63.9</v>
      </c>
      <c r="H71" s="92"/>
      <c r="I71" s="92"/>
    </row>
    <row r="72" spans="1:9" ht="18" customHeight="1" x14ac:dyDescent="0.25">
      <c r="A72" s="58"/>
      <c r="B72" s="59"/>
      <c r="C72" s="66"/>
      <c r="D72" s="61"/>
      <c r="E72" s="62"/>
      <c r="F72" s="116"/>
      <c r="G72" s="91">
        <f t="shared" si="0"/>
        <v>63.9</v>
      </c>
      <c r="H72" s="92"/>
      <c r="I72" s="92"/>
    </row>
    <row r="73" spans="1:9" ht="18" customHeight="1" x14ac:dyDescent="0.25">
      <c r="A73" s="58"/>
      <c r="B73" s="59"/>
      <c r="C73" s="66"/>
      <c r="D73" s="61"/>
      <c r="E73" s="62"/>
      <c r="F73" s="116"/>
      <c r="G73" s="91">
        <f t="shared" si="0"/>
        <v>63.9</v>
      </c>
      <c r="H73" s="92"/>
      <c r="I73" s="92"/>
    </row>
    <row r="74" spans="1:9" ht="18" customHeight="1" x14ac:dyDescent="0.25">
      <c r="A74" s="58"/>
      <c r="B74" s="59"/>
      <c r="C74" s="66"/>
      <c r="D74" s="61"/>
      <c r="E74" s="62"/>
      <c r="F74" s="116"/>
      <c r="G74" s="91">
        <f t="shared" si="0"/>
        <v>63.9</v>
      </c>
      <c r="H74" s="92"/>
      <c r="I74" s="92"/>
    </row>
    <row r="75" spans="1:9" ht="18" customHeight="1" x14ac:dyDescent="0.25">
      <c r="A75" s="58"/>
      <c r="B75" s="59"/>
      <c r="C75" s="66"/>
      <c r="D75" s="61"/>
      <c r="E75" s="62"/>
      <c r="F75" s="116"/>
      <c r="G75" s="91">
        <f t="shared" si="0"/>
        <v>63.9</v>
      </c>
      <c r="H75" s="92"/>
      <c r="I75" s="92"/>
    </row>
    <row r="76" spans="1:9" ht="18" customHeight="1" x14ac:dyDescent="0.25">
      <c r="A76" s="58"/>
      <c r="B76" s="59"/>
      <c r="C76" s="66"/>
      <c r="D76" s="61"/>
      <c r="E76" s="62"/>
      <c r="F76" s="116"/>
      <c r="G76" s="91">
        <f t="shared" si="0"/>
        <v>63.9</v>
      </c>
      <c r="H76" s="92"/>
      <c r="I76" s="92"/>
    </row>
    <row r="77" spans="1:9" ht="18" customHeight="1" x14ac:dyDescent="0.25">
      <c r="A77" s="58"/>
      <c r="B77" s="59"/>
      <c r="C77" s="66"/>
      <c r="D77" s="61"/>
      <c r="E77" s="62"/>
      <c r="F77" s="116"/>
      <c r="G77" s="91">
        <f t="shared" si="0"/>
        <v>63.9</v>
      </c>
      <c r="H77" s="92"/>
      <c r="I77" s="92"/>
    </row>
    <row r="78" spans="1:9" ht="18" customHeight="1" x14ac:dyDescent="0.25">
      <c r="A78" s="58"/>
      <c r="B78" s="59"/>
      <c r="C78" s="66"/>
      <c r="D78" s="61"/>
      <c r="E78" s="62"/>
      <c r="F78" s="116"/>
      <c r="G78" s="91">
        <f t="shared" si="0"/>
        <v>63.9</v>
      </c>
      <c r="H78" s="92"/>
      <c r="I78" s="92"/>
    </row>
    <row r="79" spans="1:9" ht="18" customHeight="1" x14ac:dyDescent="0.25">
      <c r="A79" s="58"/>
      <c r="B79" s="59"/>
      <c r="C79" s="66"/>
      <c r="D79" s="61"/>
      <c r="E79" s="62"/>
      <c r="F79" s="116"/>
      <c r="G79" s="91">
        <f t="shared" si="0"/>
        <v>63.9</v>
      </c>
      <c r="H79" s="92"/>
      <c r="I79" s="92"/>
    </row>
    <row r="80" spans="1:9" ht="18" customHeight="1" x14ac:dyDescent="0.25">
      <c r="A80" s="58"/>
      <c r="B80" s="59"/>
      <c r="C80" s="66"/>
      <c r="D80" s="61"/>
      <c r="E80" s="62"/>
      <c r="F80" s="116"/>
      <c r="G80" s="91">
        <f t="shared" ref="G80:G143" si="1">+G79+E80-F80</f>
        <v>63.9</v>
      </c>
      <c r="H80" s="92"/>
      <c r="I80" s="92"/>
    </row>
    <row r="81" spans="1:9" ht="18" customHeight="1" x14ac:dyDescent="0.25">
      <c r="A81" s="58"/>
      <c r="B81" s="59"/>
      <c r="C81" s="66"/>
      <c r="D81" s="61"/>
      <c r="E81" s="62"/>
      <c r="F81" s="116"/>
      <c r="G81" s="91">
        <f t="shared" si="1"/>
        <v>63.9</v>
      </c>
      <c r="H81" s="92"/>
      <c r="I81" s="92"/>
    </row>
    <row r="82" spans="1:9" ht="18" customHeight="1" x14ac:dyDescent="0.25">
      <c r="A82" s="58"/>
      <c r="B82" s="59"/>
      <c r="C82" s="66"/>
      <c r="D82" s="61"/>
      <c r="E82" s="62"/>
      <c r="F82" s="116"/>
      <c r="G82" s="91">
        <f t="shared" si="1"/>
        <v>63.9</v>
      </c>
      <c r="H82" s="92"/>
      <c r="I82" s="92"/>
    </row>
    <row r="83" spans="1:9" ht="18" customHeight="1" x14ac:dyDescent="0.25">
      <c r="A83" s="58"/>
      <c r="B83" s="59"/>
      <c r="C83" s="66"/>
      <c r="D83" s="61"/>
      <c r="E83" s="62"/>
      <c r="F83" s="116"/>
      <c r="G83" s="91">
        <f t="shared" si="1"/>
        <v>63.9</v>
      </c>
      <c r="H83" s="92"/>
      <c r="I83" s="92"/>
    </row>
    <row r="84" spans="1:9" ht="18" customHeight="1" x14ac:dyDescent="0.25">
      <c r="A84" s="58"/>
      <c r="B84" s="59"/>
      <c r="C84" s="66"/>
      <c r="D84" s="61"/>
      <c r="E84" s="62"/>
      <c r="F84" s="116"/>
      <c r="G84" s="91">
        <f t="shared" si="1"/>
        <v>63.9</v>
      </c>
      <c r="H84" s="92"/>
      <c r="I84" s="92"/>
    </row>
    <row r="85" spans="1:9" ht="18" customHeight="1" x14ac:dyDescent="0.25">
      <c r="A85" s="58"/>
      <c r="B85" s="59"/>
      <c r="C85" s="66"/>
      <c r="D85" s="61"/>
      <c r="E85" s="62"/>
      <c r="F85" s="116"/>
      <c r="G85" s="91">
        <f t="shared" si="1"/>
        <v>63.9</v>
      </c>
      <c r="H85" s="92"/>
      <c r="I85" s="92"/>
    </row>
    <row r="86" spans="1:9" ht="18" customHeight="1" x14ac:dyDescent="0.25">
      <c r="A86" s="58"/>
      <c r="B86" s="59"/>
      <c r="C86" s="66"/>
      <c r="D86" s="61"/>
      <c r="E86" s="62"/>
      <c r="F86" s="116"/>
      <c r="G86" s="91">
        <f t="shared" si="1"/>
        <v>63.9</v>
      </c>
      <c r="H86" s="92"/>
      <c r="I86" s="92"/>
    </row>
    <row r="87" spans="1:9" s="131" customFormat="1" ht="18" customHeight="1" x14ac:dyDescent="0.25">
      <c r="A87" s="125"/>
      <c r="B87" s="126"/>
      <c r="C87" s="66"/>
      <c r="D87" s="127"/>
      <c r="E87" s="128"/>
      <c r="F87" s="129"/>
      <c r="G87" s="91">
        <f t="shared" si="1"/>
        <v>63.9</v>
      </c>
      <c r="H87" s="92"/>
      <c r="I87" s="130"/>
    </row>
    <row r="88" spans="1:9" ht="18" customHeight="1" x14ac:dyDescent="0.25">
      <c r="A88" s="58"/>
      <c r="B88" s="59"/>
      <c r="C88" s="66"/>
      <c r="D88" s="61"/>
      <c r="E88" s="62"/>
      <c r="F88" s="116"/>
      <c r="G88" s="91">
        <f t="shared" si="1"/>
        <v>63.9</v>
      </c>
      <c r="H88" s="92"/>
      <c r="I88" s="130"/>
    </row>
    <row r="89" spans="1:9" ht="18" customHeight="1" x14ac:dyDescent="0.25">
      <c r="A89" s="58"/>
      <c r="B89" s="59"/>
      <c r="C89" s="66"/>
      <c r="D89" s="61"/>
      <c r="E89" s="62"/>
      <c r="F89" s="116"/>
      <c r="G89" s="91">
        <f t="shared" si="1"/>
        <v>63.9</v>
      </c>
      <c r="H89" s="92"/>
      <c r="I89" s="92"/>
    </row>
    <row r="90" spans="1:9" ht="18" customHeight="1" x14ac:dyDescent="0.25">
      <c r="A90" s="58"/>
      <c r="B90" s="59"/>
      <c r="C90" s="66"/>
      <c r="D90" s="61"/>
      <c r="E90" s="62"/>
      <c r="F90" s="116"/>
      <c r="G90" s="91">
        <f t="shared" si="1"/>
        <v>63.9</v>
      </c>
      <c r="H90" s="92"/>
      <c r="I90" s="92"/>
    </row>
    <row r="91" spans="1:9" ht="18" customHeight="1" x14ac:dyDescent="0.25">
      <c r="A91" s="58"/>
      <c r="B91" s="59"/>
      <c r="C91" s="66"/>
      <c r="D91" s="61"/>
      <c r="E91" s="62"/>
      <c r="F91" s="116"/>
      <c r="G91" s="91">
        <f t="shared" si="1"/>
        <v>63.9</v>
      </c>
      <c r="H91" s="92"/>
      <c r="I91" s="92"/>
    </row>
    <row r="92" spans="1:9" ht="18" customHeight="1" x14ac:dyDescent="0.25">
      <c r="A92" s="58"/>
      <c r="B92" s="59"/>
      <c r="C92" s="66"/>
      <c r="D92" s="61"/>
      <c r="E92" s="62"/>
      <c r="F92" s="116"/>
      <c r="G92" s="91">
        <f t="shared" si="1"/>
        <v>63.9</v>
      </c>
      <c r="H92" s="92"/>
      <c r="I92" s="92"/>
    </row>
    <row r="93" spans="1:9" ht="18" customHeight="1" x14ac:dyDescent="0.25">
      <c r="A93" s="58"/>
      <c r="B93" s="59"/>
      <c r="C93" s="66"/>
      <c r="D93" s="61"/>
      <c r="E93" s="62"/>
      <c r="F93" s="116"/>
      <c r="G93" s="91">
        <f t="shared" si="1"/>
        <v>63.9</v>
      </c>
      <c r="H93" s="92"/>
      <c r="I93" s="92"/>
    </row>
    <row r="94" spans="1:9" ht="18" customHeight="1" x14ac:dyDescent="0.25">
      <c r="A94" s="58"/>
      <c r="B94" s="59"/>
      <c r="C94" s="66"/>
      <c r="D94" s="61"/>
      <c r="E94" s="62"/>
      <c r="F94" s="116"/>
      <c r="G94" s="91">
        <f t="shared" si="1"/>
        <v>63.9</v>
      </c>
      <c r="H94" s="92"/>
      <c r="I94" s="92"/>
    </row>
    <row r="95" spans="1:9" ht="18" customHeight="1" x14ac:dyDescent="0.25">
      <c r="A95" s="58"/>
      <c r="B95" s="59"/>
      <c r="C95" s="66"/>
      <c r="D95" s="61"/>
      <c r="E95" s="62"/>
      <c r="F95" s="116"/>
      <c r="G95" s="91">
        <f t="shared" si="1"/>
        <v>63.9</v>
      </c>
      <c r="H95" s="92"/>
      <c r="I95" s="92"/>
    </row>
    <row r="96" spans="1:9" ht="18" customHeight="1" x14ac:dyDescent="0.25">
      <c r="A96" s="58"/>
      <c r="B96" s="59"/>
      <c r="C96" s="66"/>
      <c r="D96" s="61"/>
      <c r="E96" s="62"/>
      <c r="F96" s="116"/>
      <c r="G96" s="91">
        <f t="shared" si="1"/>
        <v>63.9</v>
      </c>
      <c r="H96" s="92"/>
      <c r="I96" s="92"/>
    </row>
    <row r="97" spans="1:9" ht="18" customHeight="1" x14ac:dyDescent="0.25">
      <c r="A97" s="58"/>
      <c r="B97" s="59"/>
      <c r="C97" s="66"/>
      <c r="D97" s="61"/>
      <c r="E97" s="62"/>
      <c r="F97" s="116"/>
      <c r="G97" s="91">
        <f t="shared" si="1"/>
        <v>63.9</v>
      </c>
      <c r="H97" s="92"/>
      <c r="I97" s="92"/>
    </row>
    <row r="98" spans="1:9" ht="18" customHeight="1" x14ac:dyDescent="0.25">
      <c r="A98" s="58"/>
      <c r="B98" s="59"/>
      <c r="C98" s="66"/>
      <c r="D98" s="61"/>
      <c r="E98" s="62"/>
      <c r="F98" s="116"/>
      <c r="G98" s="91">
        <f t="shared" si="1"/>
        <v>63.9</v>
      </c>
      <c r="H98" s="92"/>
      <c r="I98" s="92"/>
    </row>
    <row r="99" spans="1:9" ht="18" customHeight="1" x14ac:dyDescent="0.25">
      <c r="A99" s="58"/>
      <c r="B99" s="59"/>
      <c r="C99" s="66"/>
      <c r="D99" s="61"/>
      <c r="E99" s="62"/>
      <c r="F99" s="116"/>
      <c r="G99" s="91">
        <f t="shared" si="1"/>
        <v>63.9</v>
      </c>
      <c r="H99" s="92"/>
      <c r="I99" s="92"/>
    </row>
    <row r="100" spans="1:9" ht="18" customHeight="1" x14ac:dyDescent="0.25">
      <c r="A100" s="58"/>
      <c r="B100" s="59"/>
      <c r="C100" s="66"/>
      <c r="D100" s="61"/>
      <c r="E100" s="62"/>
      <c r="F100" s="116"/>
      <c r="G100" s="91">
        <f t="shared" si="1"/>
        <v>63.9</v>
      </c>
      <c r="H100" s="92"/>
      <c r="I100" s="92"/>
    </row>
    <row r="101" spans="1:9" ht="18" customHeight="1" x14ac:dyDescent="0.25">
      <c r="A101" s="58"/>
      <c r="B101" s="59"/>
      <c r="C101" s="66"/>
      <c r="D101" s="61"/>
      <c r="E101" s="62"/>
      <c r="F101" s="116"/>
      <c r="G101" s="91">
        <f t="shared" si="1"/>
        <v>63.9</v>
      </c>
      <c r="H101" s="92"/>
      <c r="I101" s="92"/>
    </row>
    <row r="102" spans="1:9" ht="18" customHeight="1" x14ac:dyDescent="0.25">
      <c r="A102" s="58"/>
      <c r="B102" s="59"/>
      <c r="C102" s="66"/>
      <c r="D102" s="61"/>
      <c r="E102" s="62"/>
      <c r="F102" s="116"/>
      <c r="G102" s="91">
        <f t="shared" si="1"/>
        <v>63.9</v>
      </c>
      <c r="H102" s="92"/>
      <c r="I102" s="92"/>
    </row>
    <row r="103" spans="1:9" ht="18" customHeight="1" x14ac:dyDescent="0.25">
      <c r="A103" s="58"/>
      <c r="B103" s="59"/>
      <c r="C103" s="66"/>
      <c r="D103" s="61"/>
      <c r="E103" s="62"/>
      <c r="F103" s="116"/>
      <c r="G103" s="91">
        <f t="shared" si="1"/>
        <v>63.9</v>
      </c>
      <c r="H103" s="92"/>
      <c r="I103" s="92"/>
    </row>
    <row r="104" spans="1:9" ht="18" customHeight="1" x14ac:dyDescent="0.25">
      <c r="A104" s="58"/>
      <c r="B104" s="59"/>
      <c r="C104" s="66"/>
      <c r="D104" s="61"/>
      <c r="E104" s="62"/>
      <c r="F104" s="116"/>
      <c r="G104" s="91">
        <f t="shared" si="1"/>
        <v>63.9</v>
      </c>
      <c r="H104" s="92"/>
      <c r="I104" s="95"/>
    </row>
    <row r="105" spans="1:9" ht="18" customHeight="1" x14ac:dyDescent="0.25">
      <c r="A105" s="58"/>
      <c r="B105" s="59"/>
      <c r="C105" s="66"/>
      <c r="D105" s="61"/>
      <c r="E105" s="62"/>
      <c r="F105" s="116"/>
      <c r="G105" s="91">
        <f t="shared" si="1"/>
        <v>63.9</v>
      </c>
      <c r="H105" s="92"/>
      <c r="I105" s="95"/>
    </row>
    <row r="106" spans="1:9" ht="18" customHeight="1" x14ac:dyDescent="0.25">
      <c r="A106" s="58"/>
      <c r="B106" s="59"/>
      <c r="C106" s="66"/>
      <c r="D106" s="61"/>
      <c r="E106" s="62"/>
      <c r="F106" s="116"/>
      <c r="G106" s="91">
        <f t="shared" si="1"/>
        <v>63.9</v>
      </c>
      <c r="H106" s="92"/>
      <c r="I106" s="95"/>
    </row>
    <row r="107" spans="1:9" ht="18" customHeight="1" x14ac:dyDescent="0.25">
      <c r="A107" s="58"/>
      <c r="B107" s="59"/>
      <c r="C107" s="66"/>
      <c r="D107" s="61"/>
      <c r="E107" s="62"/>
      <c r="F107" s="116"/>
      <c r="G107" s="91">
        <f t="shared" si="1"/>
        <v>63.9</v>
      </c>
      <c r="H107" s="92"/>
      <c r="I107" s="95"/>
    </row>
    <row r="108" spans="1:9" ht="18" customHeight="1" x14ac:dyDescent="0.25">
      <c r="A108" s="58"/>
      <c r="B108" s="59"/>
      <c r="C108" s="66"/>
      <c r="D108" s="61"/>
      <c r="E108" s="62"/>
      <c r="F108" s="116"/>
      <c r="G108" s="91">
        <f t="shared" si="1"/>
        <v>63.9</v>
      </c>
      <c r="H108" s="92"/>
      <c r="I108" s="95"/>
    </row>
    <row r="109" spans="1:9" ht="18" customHeight="1" x14ac:dyDescent="0.25">
      <c r="A109" s="58"/>
      <c r="B109" s="59"/>
      <c r="C109" s="66"/>
      <c r="D109" s="61"/>
      <c r="E109" s="62"/>
      <c r="F109" s="116"/>
      <c r="G109" s="91">
        <f t="shared" si="1"/>
        <v>63.9</v>
      </c>
      <c r="H109" s="92"/>
      <c r="I109" s="95"/>
    </row>
    <row r="110" spans="1:9" ht="18" customHeight="1" x14ac:dyDescent="0.25">
      <c r="A110" s="58"/>
      <c r="B110" s="59"/>
      <c r="C110" s="66"/>
      <c r="D110" s="61"/>
      <c r="E110" s="62"/>
      <c r="F110" s="116"/>
      <c r="G110" s="91">
        <f t="shared" si="1"/>
        <v>63.9</v>
      </c>
      <c r="H110" s="92"/>
      <c r="I110" s="95"/>
    </row>
    <row r="111" spans="1:9" ht="18" customHeight="1" x14ac:dyDescent="0.25">
      <c r="A111" s="58"/>
      <c r="B111" s="59"/>
      <c r="C111" s="66"/>
      <c r="D111" s="61"/>
      <c r="E111" s="62"/>
      <c r="F111" s="116"/>
      <c r="G111" s="91">
        <f t="shared" si="1"/>
        <v>63.9</v>
      </c>
      <c r="H111" s="92"/>
      <c r="I111" s="95"/>
    </row>
    <row r="112" spans="1:9" ht="18" customHeight="1" x14ac:dyDescent="0.25">
      <c r="A112" s="58"/>
      <c r="B112" s="59"/>
      <c r="C112" s="66"/>
      <c r="D112" s="61"/>
      <c r="E112" s="62"/>
      <c r="F112" s="116"/>
      <c r="G112" s="91">
        <f t="shared" si="1"/>
        <v>63.9</v>
      </c>
      <c r="H112" s="92"/>
      <c r="I112" s="95"/>
    </row>
    <row r="113" spans="1:9" ht="18" customHeight="1" x14ac:dyDescent="0.25">
      <c r="A113" s="58"/>
      <c r="B113" s="59"/>
      <c r="C113" s="66"/>
      <c r="D113" s="61"/>
      <c r="E113" s="62"/>
      <c r="F113" s="116"/>
      <c r="G113" s="91">
        <f t="shared" si="1"/>
        <v>63.9</v>
      </c>
      <c r="H113" s="92"/>
      <c r="I113" s="95"/>
    </row>
    <row r="114" spans="1:9" ht="18" customHeight="1" x14ac:dyDescent="0.25">
      <c r="A114" s="58"/>
      <c r="B114" s="59"/>
      <c r="C114" s="66"/>
      <c r="D114" s="61"/>
      <c r="E114" s="62"/>
      <c r="F114" s="116"/>
      <c r="G114" s="91">
        <f t="shared" si="1"/>
        <v>63.9</v>
      </c>
      <c r="H114" s="92"/>
      <c r="I114" s="95"/>
    </row>
    <row r="115" spans="1:9" ht="18" customHeight="1" x14ac:dyDescent="0.25">
      <c r="A115" s="58"/>
      <c r="B115" s="59"/>
      <c r="C115" s="66"/>
      <c r="D115" s="61"/>
      <c r="E115" s="62"/>
      <c r="F115" s="116"/>
      <c r="G115" s="91">
        <f t="shared" si="1"/>
        <v>63.9</v>
      </c>
      <c r="H115" s="92"/>
      <c r="I115" s="95"/>
    </row>
    <row r="116" spans="1:9" ht="18" customHeight="1" x14ac:dyDescent="0.25">
      <c r="A116" s="58"/>
      <c r="B116" s="59"/>
      <c r="C116" s="66"/>
      <c r="D116" s="61"/>
      <c r="E116" s="62"/>
      <c r="F116" s="116"/>
      <c r="G116" s="91">
        <f t="shared" si="1"/>
        <v>63.9</v>
      </c>
      <c r="H116" s="92"/>
      <c r="I116" s="95"/>
    </row>
    <row r="117" spans="1:9" ht="18" customHeight="1" x14ac:dyDescent="0.25">
      <c r="A117" s="58"/>
      <c r="B117" s="59"/>
      <c r="C117" s="66"/>
      <c r="D117" s="61"/>
      <c r="E117" s="62"/>
      <c r="F117" s="116"/>
      <c r="G117" s="91">
        <f t="shared" si="1"/>
        <v>63.9</v>
      </c>
      <c r="H117" s="92"/>
      <c r="I117" s="95"/>
    </row>
    <row r="118" spans="1:9" ht="18" customHeight="1" x14ac:dyDescent="0.25">
      <c r="A118" s="58"/>
      <c r="B118" s="59"/>
      <c r="C118" s="66"/>
      <c r="D118" s="61"/>
      <c r="E118" s="62"/>
      <c r="F118" s="116"/>
      <c r="G118" s="91">
        <f t="shared" si="1"/>
        <v>63.9</v>
      </c>
      <c r="H118" s="92"/>
      <c r="I118" s="95"/>
    </row>
    <row r="119" spans="1:9" ht="18" customHeight="1" x14ac:dyDescent="0.25">
      <c r="A119" s="58"/>
      <c r="B119" s="59"/>
      <c r="C119" s="66"/>
      <c r="D119" s="61"/>
      <c r="E119" s="62"/>
      <c r="F119" s="116"/>
      <c r="G119" s="91">
        <f t="shared" si="1"/>
        <v>63.9</v>
      </c>
      <c r="H119" s="92"/>
      <c r="I119" s="95"/>
    </row>
    <row r="120" spans="1:9" ht="18" customHeight="1" x14ac:dyDescent="0.25">
      <c r="A120" s="58"/>
      <c r="B120" s="59"/>
      <c r="C120" s="66"/>
      <c r="D120" s="61"/>
      <c r="E120" s="62"/>
      <c r="F120" s="116"/>
      <c r="G120" s="91">
        <f t="shared" si="1"/>
        <v>63.9</v>
      </c>
      <c r="H120" s="92"/>
      <c r="I120" s="95"/>
    </row>
    <row r="121" spans="1:9" ht="18" customHeight="1" x14ac:dyDescent="0.25">
      <c r="A121" s="58"/>
      <c r="B121" s="59"/>
      <c r="C121" s="66"/>
      <c r="D121" s="61"/>
      <c r="E121" s="62"/>
      <c r="F121" s="116"/>
      <c r="G121" s="91">
        <f t="shared" si="1"/>
        <v>63.9</v>
      </c>
      <c r="H121" s="92"/>
      <c r="I121" s="95"/>
    </row>
    <row r="122" spans="1:9" ht="18" customHeight="1" x14ac:dyDescent="0.25">
      <c r="A122" s="58"/>
      <c r="B122" s="59"/>
      <c r="C122" s="66"/>
      <c r="D122" s="61"/>
      <c r="E122" s="62"/>
      <c r="F122" s="116"/>
      <c r="G122" s="91">
        <f t="shared" si="1"/>
        <v>63.9</v>
      </c>
      <c r="H122" s="92"/>
      <c r="I122" s="95"/>
    </row>
    <row r="123" spans="1:9" ht="18" customHeight="1" x14ac:dyDescent="0.25">
      <c r="A123" s="58"/>
      <c r="B123" s="59"/>
      <c r="C123" s="66"/>
      <c r="D123" s="61"/>
      <c r="E123" s="62"/>
      <c r="F123" s="116"/>
      <c r="G123" s="91">
        <f t="shared" si="1"/>
        <v>63.9</v>
      </c>
      <c r="H123" s="92"/>
      <c r="I123" s="95"/>
    </row>
    <row r="124" spans="1:9" ht="18" customHeight="1" x14ac:dyDescent="0.25">
      <c r="A124" s="58"/>
      <c r="B124" s="59"/>
      <c r="C124" s="66"/>
      <c r="D124" s="61"/>
      <c r="E124" s="62"/>
      <c r="F124" s="116"/>
      <c r="G124" s="91">
        <f t="shared" si="1"/>
        <v>63.9</v>
      </c>
      <c r="H124" s="92"/>
      <c r="I124" s="95"/>
    </row>
    <row r="125" spans="1:9" ht="18" customHeight="1" x14ac:dyDescent="0.25">
      <c r="A125" s="58"/>
      <c r="B125" s="59"/>
      <c r="C125" s="66"/>
      <c r="D125" s="61"/>
      <c r="E125" s="62"/>
      <c r="F125" s="116"/>
      <c r="G125" s="91">
        <f t="shared" si="1"/>
        <v>63.9</v>
      </c>
      <c r="H125" s="92"/>
      <c r="I125" s="95"/>
    </row>
    <row r="126" spans="1:9" ht="18" customHeight="1" x14ac:dyDescent="0.25">
      <c r="A126" s="58"/>
      <c r="B126" s="59"/>
      <c r="C126" s="66"/>
      <c r="D126" s="61"/>
      <c r="E126" s="62"/>
      <c r="F126" s="116"/>
      <c r="G126" s="91">
        <f t="shared" si="1"/>
        <v>63.9</v>
      </c>
      <c r="H126" s="92"/>
      <c r="I126" s="95"/>
    </row>
    <row r="127" spans="1:9" ht="18" customHeight="1" x14ac:dyDescent="0.25">
      <c r="A127" s="58"/>
      <c r="B127" s="59"/>
      <c r="C127" s="66"/>
      <c r="D127" s="61"/>
      <c r="E127" s="62"/>
      <c r="F127" s="116"/>
      <c r="G127" s="91">
        <f t="shared" si="1"/>
        <v>63.9</v>
      </c>
      <c r="H127" s="92"/>
      <c r="I127" s="95"/>
    </row>
    <row r="128" spans="1:9" ht="18" customHeight="1" x14ac:dyDescent="0.25">
      <c r="A128" s="58"/>
      <c r="B128" s="59"/>
      <c r="C128" s="66"/>
      <c r="D128" s="61"/>
      <c r="E128" s="62"/>
      <c r="F128" s="116"/>
      <c r="G128" s="91">
        <f t="shared" si="1"/>
        <v>63.9</v>
      </c>
      <c r="H128" s="92"/>
      <c r="I128" s="95"/>
    </row>
    <row r="129" spans="1:9" ht="18" customHeight="1" x14ac:dyDescent="0.25">
      <c r="A129" s="58"/>
      <c r="B129" s="59"/>
      <c r="C129" s="66"/>
      <c r="D129" s="61"/>
      <c r="E129" s="62"/>
      <c r="F129" s="116"/>
      <c r="G129" s="91">
        <f t="shared" si="1"/>
        <v>63.9</v>
      </c>
      <c r="H129" s="92"/>
      <c r="I129" s="95"/>
    </row>
    <row r="130" spans="1:9" ht="18" customHeight="1" x14ac:dyDescent="0.25">
      <c r="A130" s="58"/>
      <c r="B130" s="59"/>
      <c r="C130" s="66"/>
      <c r="D130" s="61"/>
      <c r="E130" s="62"/>
      <c r="F130" s="116"/>
      <c r="G130" s="91">
        <f t="shared" si="1"/>
        <v>63.9</v>
      </c>
      <c r="H130" s="92"/>
      <c r="I130" s="95"/>
    </row>
    <row r="131" spans="1:9" ht="18" customHeight="1" x14ac:dyDescent="0.25">
      <c r="A131" s="58"/>
      <c r="B131" s="59"/>
      <c r="C131" s="66"/>
      <c r="D131" s="61"/>
      <c r="E131" s="62"/>
      <c r="F131" s="116"/>
      <c r="G131" s="91">
        <f t="shared" si="1"/>
        <v>63.9</v>
      </c>
      <c r="H131" s="92"/>
      <c r="I131" s="95"/>
    </row>
    <row r="132" spans="1:9" ht="18" customHeight="1" x14ac:dyDescent="0.25">
      <c r="A132" s="58"/>
      <c r="B132" s="59"/>
      <c r="C132" s="66"/>
      <c r="D132" s="61"/>
      <c r="E132" s="62"/>
      <c r="F132" s="116"/>
      <c r="G132" s="91">
        <f t="shared" si="1"/>
        <v>63.9</v>
      </c>
      <c r="H132" s="92"/>
      <c r="I132" s="95"/>
    </row>
    <row r="133" spans="1:9" ht="18" customHeight="1" x14ac:dyDescent="0.25">
      <c r="A133" s="58"/>
      <c r="B133" s="59"/>
      <c r="C133" s="66"/>
      <c r="D133" s="61"/>
      <c r="E133" s="62"/>
      <c r="F133" s="116"/>
      <c r="G133" s="91">
        <f t="shared" si="1"/>
        <v>63.9</v>
      </c>
      <c r="H133" s="92"/>
      <c r="I133" s="95"/>
    </row>
    <row r="134" spans="1:9" ht="18" customHeight="1" x14ac:dyDescent="0.25">
      <c r="A134" s="58"/>
      <c r="B134" s="59"/>
      <c r="C134" s="66"/>
      <c r="D134" s="61"/>
      <c r="E134" s="62"/>
      <c r="F134" s="116"/>
      <c r="G134" s="91">
        <f t="shared" si="1"/>
        <v>63.9</v>
      </c>
      <c r="H134" s="92"/>
      <c r="I134" s="95"/>
    </row>
    <row r="135" spans="1:9" ht="18" customHeight="1" x14ac:dyDescent="0.25">
      <c r="A135" s="58"/>
      <c r="B135" s="59"/>
      <c r="C135" s="66"/>
      <c r="D135" s="61"/>
      <c r="E135" s="62"/>
      <c r="F135" s="116"/>
      <c r="G135" s="91">
        <f t="shared" si="1"/>
        <v>63.9</v>
      </c>
      <c r="H135" s="92"/>
      <c r="I135" s="95"/>
    </row>
    <row r="136" spans="1:9" ht="18" customHeight="1" x14ac:dyDescent="0.25">
      <c r="A136" s="58"/>
      <c r="B136" s="59"/>
      <c r="C136" s="66"/>
      <c r="D136" s="61"/>
      <c r="E136" s="62"/>
      <c r="F136" s="116"/>
      <c r="G136" s="91">
        <f t="shared" si="1"/>
        <v>63.9</v>
      </c>
      <c r="H136" s="92"/>
      <c r="I136" s="95"/>
    </row>
    <row r="137" spans="1:9" ht="18" customHeight="1" x14ac:dyDescent="0.25">
      <c r="A137" s="58"/>
      <c r="B137" s="59"/>
      <c r="C137" s="66"/>
      <c r="D137" s="61"/>
      <c r="E137" s="62"/>
      <c r="F137" s="116"/>
      <c r="G137" s="91">
        <f t="shared" si="1"/>
        <v>63.9</v>
      </c>
      <c r="H137" s="92"/>
      <c r="I137" s="95"/>
    </row>
    <row r="138" spans="1:9" ht="18" customHeight="1" x14ac:dyDescent="0.25">
      <c r="A138" s="58"/>
      <c r="B138" s="59"/>
      <c r="C138" s="66"/>
      <c r="D138" s="61"/>
      <c r="E138" s="62"/>
      <c r="F138" s="116"/>
      <c r="G138" s="91">
        <f t="shared" si="1"/>
        <v>63.9</v>
      </c>
      <c r="H138" s="92"/>
      <c r="I138" s="95"/>
    </row>
    <row r="139" spans="1:9" ht="18" customHeight="1" x14ac:dyDescent="0.25">
      <c r="A139" s="58"/>
      <c r="B139" s="59"/>
      <c r="C139" s="66"/>
      <c r="D139" s="61"/>
      <c r="E139" s="62"/>
      <c r="F139" s="116"/>
      <c r="G139" s="91">
        <f t="shared" si="1"/>
        <v>63.9</v>
      </c>
      <c r="H139" s="92"/>
      <c r="I139" s="95"/>
    </row>
    <row r="140" spans="1:9" ht="18" customHeight="1" x14ac:dyDescent="0.25">
      <c r="A140" s="58"/>
      <c r="B140" s="59"/>
      <c r="C140" s="66"/>
      <c r="D140" s="61"/>
      <c r="E140" s="62"/>
      <c r="F140" s="116"/>
      <c r="G140" s="91">
        <f t="shared" si="1"/>
        <v>63.9</v>
      </c>
      <c r="H140" s="92"/>
      <c r="I140" s="95"/>
    </row>
    <row r="141" spans="1:9" ht="18" customHeight="1" x14ac:dyDescent="0.25">
      <c r="A141" s="58"/>
      <c r="B141" s="59"/>
      <c r="C141" s="66"/>
      <c r="D141" s="65"/>
      <c r="E141" s="62"/>
      <c r="F141" s="116"/>
      <c r="G141" s="91">
        <f t="shared" si="1"/>
        <v>63.9</v>
      </c>
      <c r="H141" s="92"/>
      <c r="I141" s="95"/>
    </row>
    <row r="142" spans="1:9" ht="18" customHeight="1" x14ac:dyDescent="0.25">
      <c r="A142" s="58"/>
      <c r="B142" s="59"/>
      <c r="C142" s="66"/>
      <c r="D142" s="65"/>
      <c r="E142" s="62"/>
      <c r="F142" s="116"/>
      <c r="G142" s="91">
        <f t="shared" si="1"/>
        <v>63.9</v>
      </c>
      <c r="H142" s="92"/>
      <c r="I142" s="95"/>
    </row>
    <row r="143" spans="1:9" ht="18" customHeight="1" x14ac:dyDescent="0.25">
      <c r="A143" s="58"/>
      <c r="B143" s="59"/>
      <c r="C143" s="66"/>
      <c r="D143" s="65"/>
      <c r="E143" s="62"/>
      <c r="F143" s="116"/>
      <c r="G143" s="91">
        <f t="shared" si="1"/>
        <v>63.9</v>
      </c>
      <c r="H143" s="92"/>
      <c r="I143" s="95"/>
    </row>
    <row r="144" spans="1:9" ht="18" customHeight="1" x14ac:dyDescent="0.25">
      <c r="A144" s="58"/>
      <c r="B144" s="59"/>
      <c r="C144" s="66"/>
      <c r="D144" s="65"/>
      <c r="E144" s="62"/>
      <c r="F144" s="116"/>
      <c r="G144" s="91">
        <f t="shared" ref="G144:G157" si="2">+G143+E144-F144</f>
        <v>63.9</v>
      </c>
      <c r="H144" s="92"/>
      <c r="I144" s="95"/>
    </row>
    <row r="145" spans="1:9" ht="18" customHeight="1" x14ac:dyDescent="0.25">
      <c r="A145" s="58"/>
      <c r="B145" s="59"/>
      <c r="C145" s="66"/>
      <c r="D145" s="65"/>
      <c r="E145" s="62"/>
      <c r="F145" s="116"/>
      <c r="G145" s="91">
        <f t="shared" si="2"/>
        <v>63.9</v>
      </c>
      <c r="H145" s="92"/>
      <c r="I145" s="95"/>
    </row>
    <row r="146" spans="1:9" ht="18" customHeight="1" x14ac:dyDescent="0.25">
      <c r="A146" s="58"/>
      <c r="B146" s="59"/>
      <c r="C146" s="66"/>
      <c r="D146" s="65"/>
      <c r="E146" s="62"/>
      <c r="F146" s="116"/>
      <c r="G146" s="91">
        <f t="shared" si="2"/>
        <v>63.9</v>
      </c>
      <c r="H146" s="92"/>
      <c r="I146" s="95"/>
    </row>
    <row r="147" spans="1:9" ht="18" customHeight="1" x14ac:dyDescent="0.25">
      <c r="A147" s="58"/>
      <c r="B147" s="59"/>
      <c r="C147" s="66"/>
      <c r="D147" s="65" t="s">
        <v>17</v>
      </c>
      <c r="E147" s="62"/>
      <c r="F147" s="116"/>
      <c r="G147" s="91">
        <f t="shared" si="2"/>
        <v>63.9</v>
      </c>
      <c r="H147" s="92"/>
      <c r="I147" s="95"/>
    </row>
    <row r="148" spans="1:9" ht="18" customHeight="1" x14ac:dyDescent="0.25">
      <c r="A148" s="58"/>
      <c r="B148" s="59"/>
      <c r="C148" s="66"/>
      <c r="D148" s="65" t="s">
        <v>17</v>
      </c>
      <c r="E148" s="62"/>
      <c r="F148" s="116"/>
      <c r="G148" s="91">
        <f t="shared" si="2"/>
        <v>63.9</v>
      </c>
      <c r="H148" s="92"/>
      <c r="I148" s="95"/>
    </row>
    <row r="149" spans="1:9" ht="18" customHeight="1" x14ac:dyDescent="0.25">
      <c r="A149" s="58"/>
      <c r="B149" s="59"/>
      <c r="C149" s="66"/>
      <c r="D149" s="65" t="s">
        <v>17</v>
      </c>
      <c r="E149" s="62"/>
      <c r="F149" s="116"/>
      <c r="G149" s="91">
        <f t="shared" si="2"/>
        <v>63.9</v>
      </c>
      <c r="H149" s="92"/>
      <c r="I149" s="95"/>
    </row>
    <row r="150" spans="1:9" ht="18" customHeight="1" x14ac:dyDescent="0.25">
      <c r="A150" s="58"/>
      <c r="B150" s="59"/>
      <c r="C150" s="66"/>
      <c r="D150" s="65" t="s">
        <v>17</v>
      </c>
      <c r="E150" s="62"/>
      <c r="F150" s="116"/>
      <c r="G150" s="91">
        <f t="shared" si="2"/>
        <v>63.9</v>
      </c>
      <c r="H150" s="92"/>
      <c r="I150" s="95"/>
    </row>
    <row r="151" spans="1:9" ht="18" customHeight="1" x14ac:dyDescent="0.25">
      <c r="A151" s="58"/>
      <c r="B151" s="59"/>
      <c r="C151" s="66"/>
      <c r="D151" s="65" t="s">
        <v>17</v>
      </c>
      <c r="E151" s="62"/>
      <c r="F151" s="116"/>
      <c r="G151" s="91">
        <f t="shared" si="2"/>
        <v>63.9</v>
      </c>
      <c r="H151" s="92"/>
      <c r="I151" s="95"/>
    </row>
    <row r="152" spans="1:9" ht="18" customHeight="1" x14ac:dyDescent="0.25">
      <c r="A152" s="58"/>
      <c r="B152" s="59"/>
      <c r="C152" s="66"/>
      <c r="D152" s="65" t="s">
        <v>17</v>
      </c>
      <c r="E152" s="62"/>
      <c r="F152" s="116"/>
      <c r="G152" s="91">
        <f t="shared" si="2"/>
        <v>63.9</v>
      </c>
      <c r="H152" s="92"/>
      <c r="I152" s="95"/>
    </row>
    <row r="153" spans="1:9" ht="18" customHeight="1" x14ac:dyDescent="0.25">
      <c r="A153" s="58"/>
      <c r="B153" s="59"/>
      <c r="C153" s="66"/>
      <c r="D153" s="65" t="s">
        <v>17</v>
      </c>
      <c r="E153" s="62"/>
      <c r="F153" s="116"/>
      <c r="G153" s="91">
        <f t="shared" si="2"/>
        <v>63.9</v>
      </c>
      <c r="H153" s="92"/>
      <c r="I153" s="95"/>
    </row>
    <row r="154" spans="1:9" ht="18" customHeight="1" x14ac:dyDescent="0.25">
      <c r="A154" s="58"/>
      <c r="B154" s="59"/>
      <c r="C154" s="66"/>
      <c r="D154" s="65" t="s">
        <v>17</v>
      </c>
      <c r="E154" s="62"/>
      <c r="F154" s="116"/>
      <c r="G154" s="91">
        <f t="shared" si="2"/>
        <v>63.9</v>
      </c>
      <c r="H154" s="92"/>
      <c r="I154" s="95"/>
    </row>
    <row r="155" spans="1:9" ht="18" customHeight="1" x14ac:dyDescent="0.25">
      <c r="A155" s="58"/>
      <c r="B155" s="59"/>
      <c r="C155" s="66"/>
      <c r="D155" s="65" t="s">
        <v>17</v>
      </c>
      <c r="E155" s="62"/>
      <c r="F155" s="116"/>
      <c r="G155" s="91">
        <f t="shared" si="2"/>
        <v>63.9</v>
      </c>
      <c r="H155" s="100"/>
      <c r="I155" s="95"/>
    </row>
    <row r="156" spans="1:9" x14ac:dyDescent="0.25">
      <c r="A156" s="65"/>
      <c r="B156" s="59"/>
      <c r="C156" s="101"/>
      <c r="D156" s="65" t="s">
        <v>17</v>
      </c>
      <c r="E156" s="123"/>
      <c r="F156" s="117"/>
      <c r="G156" s="91">
        <f t="shared" si="2"/>
        <v>63.9</v>
      </c>
      <c r="H156" s="102"/>
      <c r="I156" s="82"/>
    </row>
    <row r="157" spans="1:9" x14ac:dyDescent="0.25">
      <c r="A157" s="65"/>
      <c r="B157" s="73"/>
      <c r="C157" s="58"/>
      <c r="D157" s="65" t="s">
        <v>17</v>
      </c>
      <c r="E157" s="124"/>
      <c r="F157" s="118"/>
      <c r="G157" s="91">
        <f t="shared" si="2"/>
        <v>63.9</v>
      </c>
      <c r="H157" s="103"/>
      <c r="I157" s="82"/>
    </row>
    <row r="158" spans="1:9" x14ac:dyDescent="0.25">
      <c r="A158" s="58"/>
      <c r="B158" s="58"/>
      <c r="C158" s="77" t="s">
        <v>13</v>
      </c>
      <c r="D158" s="65"/>
      <c r="E158" s="119">
        <f>SUM(E9:E157)</f>
        <v>136.6</v>
      </c>
      <c r="F158" s="119">
        <f>SUM(F9:F157)</f>
        <v>72.699999999999989</v>
      </c>
      <c r="G158" s="132">
        <f>E158-F158+G8</f>
        <v>63.900000000000006</v>
      </c>
      <c r="H158" s="104"/>
      <c r="I158" s="105"/>
    </row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D784-9565-43BF-9507-76015A6D9575}">
  <sheetPr codeName="Sheet20"/>
  <dimension ref="A1:J153"/>
  <sheetViews>
    <sheetView workbookViewId="0">
      <selection activeCell="F14" sqref="F14"/>
    </sheetView>
  </sheetViews>
  <sheetFormatPr defaultRowHeight="15.75" x14ac:dyDescent="0.25"/>
  <cols>
    <col min="1" max="1" width="6" style="55" customWidth="1"/>
    <col min="2" max="2" width="11.5703125" style="55" customWidth="1"/>
    <col min="3" max="3" width="36.28515625" style="55" customWidth="1"/>
    <col min="4" max="4" width="6.140625" style="80" customWidth="1"/>
    <col min="5" max="5" width="12.28515625" style="120" customWidth="1"/>
    <col min="6" max="6" width="12.28515625" style="113" customWidth="1"/>
    <col min="7" max="7" width="12.28515625" style="111" customWidth="1"/>
    <col min="8" max="8" width="21.5703125" style="81" customWidth="1"/>
    <col min="9" max="9" width="16.28515625" style="81" customWidth="1"/>
    <col min="10" max="256" width="9" style="55"/>
    <col min="257" max="257" width="6" style="55" customWidth="1"/>
    <col min="258" max="258" width="11.5703125" style="55" customWidth="1"/>
    <col min="259" max="259" width="45.42578125" style="55" customWidth="1"/>
    <col min="260" max="260" width="6.140625" style="55" customWidth="1"/>
    <col min="261" max="263" width="12.28515625" style="55" customWidth="1"/>
    <col min="264" max="264" width="15.140625" style="55" customWidth="1"/>
    <col min="265" max="265" width="15" style="55" customWidth="1"/>
    <col min="266" max="512" width="9" style="55"/>
    <col min="513" max="513" width="6" style="55" customWidth="1"/>
    <col min="514" max="514" width="11.5703125" style="55" customWidth="1"/>
    <col min="515" max="515" width="45.42578125" style="55" customWidth="1"/>
    <col min="516" max="516" width="6.140625" style="55" customWidth="1"/>
    <col min="517" max="519" width="12.28515625" style="55" customWidth="1"/>
    <col min="520" max="520" width="15.140625" style="55" customWidth="1"/>
    <col min="521" max="521" width="15" style="55" customWidth="1"/>
    <col min="522" max="768" width="9" style="55"/>
    <col min="769" max="769" width="6" style="55" customWidth="1"/>
    <col min="770" max="770" width="11.5703125" style="55" customWidth="1"/>
    <col min="771" max="771" width="45.42578125" style="55" customWidth="1"/>
    <col min="772" max="772" width="6.140625" style="55" customWidth="1"/>
    <col min="773" max="775" width="12.28515625" style="55" customWidth="1"/>
    <col min="776" max="776" width="15.140625" style="55" customWidth="1"/>
    <col min="777" max="777" width="15" style="55" customWidth="1"/>
    <col min="778" max="1024" width="9" style="55"/>
    <col min="1025" max="1025" width="6" style="55" customWidth="1"/>
    <col min="1026" max="1026" width="11.5703125" style="55" customWidth="1"/>
    <col min="1027" max="1027" width="45.42578125" style="55" customWidth="1"/>
    <col min="1028" max="1028" width="6.140625" style="55" customWidth="1"/>
    <col min="1029" max="1031" width="12.28515625" style="55" customWidth="1"/>
    <col min="1032" max="1032" width="15.140625" style="55" customWidth="1"/>
    <col min="1033" max="1033" width="15" style="55" customWidth="1"/>
    <col min="1034" max="1280" width="9" style="55"/>
    <col min="1281" max="1281" width="6" style="55" customWidth="1"/>
    <col min="1282" max="1282" width="11.5703125" style="55" customWidth="1"/>
    <col min="1283" max="1283" width="45.42578125" style="55" customWidth="1"/>
    <col min="1284" max="1284" width="6.140625" style="55" customWidth="1"/>
    <col min="1285" max="1287" width="12.28515625" style="55" customWidth="1"/>
    <col min="1288" max="1288" width="15.140625" style="55" customWidth="1"/>
    <col min="1289" max="1289" width="15" style="55" customWidth="1"/>
    <col min="1290" max="1536" width="9" style="55"/>
    <col min="1537" max="1537" width="6" style="55" customWidth="1"/>
    <col min="1538" max="1538" width="11.5703125" style="55" customWidth="1"/>
    <col min="1539" max="1539" width="45.42578125" style="55" customWidth="1"/>
    <col min="1540" max="1540" width="6.140625" style="55" customWidth="1"/>
    <col min="1541" max="1543" width="12.28515625" style="55" customWidth="1"/>
    <col min="1544" max="1544" width="15.140625" style="55" customWidth="1"/>
    <col min="1545" max="1545" width="15" style="55" customWidth="1"/>
    <col min="1546" max="1792" width="9" style="55"/>
    <col min="1793" max="1793" width="6" style="55" customWidth="1"/>
    <col min="1794" max="1794" width="11.5703125" style="55" customWidth="1"/>
    <col min="1795" max="1795" width="45.42578125" style="55" customWidth="1"/>
    <col min="1796" max="1796" width="6.140625" style="55" customWidth="1"/>
    <col min="1797" max="1799" width="12.28515625" style="55" customWidth="1"/>
    <col min="1800" max="1800" width="15.140625" style="55" customWidth="1"/>
    <col min="1801" max="1801" width="15" style="55" customWidth="1"/>
    <col min="1802" max="2048" width="9" style="55"/>
    <col min="2049" max="2049" width="6" style="55" customWidth="1"/>
    <col min="2050" max="2050" width="11.5703125" style="55" customWidth="1"/>
    <col min="2051" max="2051" width="45.42578125" style="55" customWidth="1"/>
    <col min="2052" max="2052" width="6.140625" style="55" customWidth="1"/>
    <col min="2053" max="2055" width="12.28515625" style="55" customWidth="1"/>
    <col min="2056" max="2056" width="15.140625" style="55" customWidth="1"/>
    <col min="2057" max="2057" width="15" style="55" customWidth="1"/>
    <col min="2058" max="2304" width="9" style="55"/>
    <col min="2305" max="2305" width="6" style="55" customWidth="1"/>
    <col min="2306" max="2306" width="11.5703125" style="55" customWidth="1"/>
    <col min="2307" max="2307" width="45.42578125" style="55" customWidth="1"/>
    <col min="2308" max="2308" width="6.140625" style="55" customWidth="1"/>
    <col min="2309" max="2311" width="12.28515625" style="55" customWidth="1"/>
    <col min="2312" max="2312" width="15.140625" style="55" customWidth="1"/>
    <col min="2313" max="2313" width="15" style="55" customWidth="1"/>
    <col min="2314" max="2560" width="9" style="55"/>
    <col min="2561" max="2561" width="6" style="55" customWidth="1"/>
    <col min="2562" max="2562" width="11.5703125" style="55" customWidth="1"/>
    <col min="2563" max="2563" width="45.42578125" style="55" customWidth="1"/>
    <col min="2564" max="2564" width="6.140625" style="55" customWidth="1"/>
    <col min="2565" max="2567" width="12.28515625" style="55" customWidth="1"/>
    <col min="2568" max="2568" width="15.140625" style="55" customWidth="1"/>
    <col min="2569" max="2569" width="15" style="55" customWidth="1"/>
    <col min="2570" max="2816" width="9" style="55"/>
    <col min="2817" max="2817" width="6" style="55" customWidth="1"/>
    <col min="2818" max="2818" width="11.5703125" style="55" customWidth="1"/>
    <col min="2819" max="2819" width="45.42578125" style="55" customWidth="1"/>
    <col min="2820" max="2820" width="6.140625" style="55" customWidth="1"/>
    <col min="2821" max="2823" width="12.28515625" style="55" customWidth="1"/>
    <col min="2824" max="2824" width="15.140625" style="55" customWidth="1"/>
    <col min="2825" max="2825" width="15" style="55" customWidth="1"/>
    <col min="2826" max="3072" width="9" style="55"/>
    <col min="3073" max="3073" width="6" style="55" customWidth="1"/>
    <col min="3074" max="3074" width="11.5703125" style="55" customWidth="1"/>
    <col min="3075" max="3075" width="45.42578125" style="55" customWidth="1"/>
    <col min="3076" max="3076" width="6.140625" style="55" customWidth="1"/>
    <col min="3077" max="3079" width="12.28515625" style="55" customWidth="1"/>
    <col min="3080" max="3080" width="15.140625" style="55" customWidth="1"/>
    <col min="3081" max="3081" width="15" style="55" customWidth="1"/>
    <col min="3082" max="3328" width="9" style="55"/>
    <col min="3329" max="3329" width="6" style="55" customWidth="1"/>
    <col min="3330" max="3330" width="11.5703125" style="55" customWidth="1"/>
    <col min="3331" max="3331" width="45.42578125" style="55" customWidth="1"/>
    <col min="3332" max="3332" width="6.140625" style="55" customWidth="1"/>
    <col min="3333" max="3335" width="12.28515625" style="55" customWidth="1"/>
    <col min="3336" max="3336" width="15.140625" style="55" customWidth="1"/>
    <col min="3337" max="3337" width="15" style="55" customWidth="1"/>
    <col min="3338" max="3584" width="9" style="55"/>
    <col min="3585" max="3585" width="6" style="55" customWidth="1"/>
    <col min="3586" max="3586" width="11.5703125" style="55" customWidth="1"/>
    <col min="3587" max="3587" width="45.42578125" style="55" customWidth="1"/>
    <col min="3588" max="3588" width="6.140625" style="55" customWidth="1"/>
    <col min="3589" max="3591" width="12.28515625" style="55" customWidth="1"/>
    <col min="3592" max="3592" width="15.140625" style="55" customWidth="1"/>
    <col min="3593" max="3593" width="15" style="55" customWidth="1"/>
    <col min="3594" max="3840" width="9" style="55"/>
    <col min="3841" max="3841" width="6" style="55" customWidth="1"/>
    <col min="3842" max="3842" width="11.5703125" style="55" customWidth="1"/>
    <col min="3843" max="3843" width="45.42578125" style="55" customWidth="1"/>
    <col min="3844" max="3844" width="6.140625" style="55" customWidth="1"/>
    <col min="3845" max="3847" width="12.28515625" style="55" customWidth="1"/>
    <col min="3848" max="3848" width="15.140625" style="55" customWidth="1"/>
    <col min="3849" max="3849" width="15" style="55" customWidth="1"/>
    <col min="3850" max="4096" width="9" style="55"/>
    <col min="4097" max="4097" width="6" style="55" customWidth="1"/>
    <col min="4098" max="4098" width="11.5703125" style="55" customWidth="1"/>
    <col min="4099" max="4099" width="45.42578125" style="55" customWidth="1"/>
    <col min="4100" max="4100" width="6.140625" style="55" customWidth="1"/>
    <col min="4101" max="4103" width="12.28515625" style="55" customWidth="1"/>
    <col min="4104" max="4104" width="15.140625" style="55" customWidth="1"/>
    <col min="4105" max="4105" width="15" style="55" customWidth="1"/>
    <col min="4106" max="4352" width="9" style="55"/>
    <col min="4353" max="4353" width="6" style="55" customWidth="1"/>
    <col min="4354" max="4354" width="11.5703125" style="55" customWidth="1"/>
    <col min="4355" max="4355" width="45.42578125" style="55" customWidth="1"/>
    <col min="4356" max="4356" width="6.140625" style="55" customWidth="1"/>
    <col min="4357" max="4359" width="12.28515625" style="55" customWidth="1"/>
    <col min="4360" max="4360" width="15.140625" style="55" customWidth="1"/>
    <col min="4361" max="4361" width="15" style="55" customWidth="1"/>
    <col min="4362" max="4608" width="9" style="55"/>
    <col min="4609" max="4609" width="6" style="55" customWidth="1"/>
    <col min="4610" max="4610" width="11.5703125" style="55" customWidth="1"/>
    <col min="4611" max="4611" width="45.42578125" style="55" customWidth="1"/>
    <col min="4612" max="4612" width="6.140625" style="55" customWidth="1"/>
    <col min="4613" max="4615" width="12.28515625" style="55" customWidth="1"/>
    <col min="4616" max="4616" width="15.140625" style="55" customWidth="1"/>
    <col min="4617" max="4617" width="15" style="55" customWidth="1"/>
    <col min="4618" max="4864" width="9" style="55"/>
    <col min="4865" max="4865" width="6" style="55" customWidth="1"/>
    <col min="4866" max="4866" width="11.5703125" style="55" customWidth="1"/>
    <col min="4867" max="4867" width="45.42578125" style="55" customWidth="1"/>
    <col min="4868" max="4868" width="6.140625" style="55" customWidth="1"/>
    <col min="4869" max="4871" width="12.28515625" style="55" customWidth="1"/>
    <col min="4872" max="4872" width="15.140625" style="55" customWidth="1"/>
    <col min="4873" max="4873" width="15" style="55" customWidth="1"/>
    <col min="4874" max="5120" width="9" style="55"/>
    <col min="5121" max="5121" width="6" style="55" customWidth="1"/>
    <col min="5122" max="5122" width="11.5703125" style="55" customWidth="1"/>
    <col min="5123" max="5123" width="45.42578125" style="55" customWidth="1"/>
    <col min="5124" max="5124" width="6.140625" style="55" customWidth="1"/>
    <col min="5125" max="5127" width="12.28515625" style="55" customWidth="1"/>
    <col min="5128" max="5128" width="15.140625" style="55" customWidth="1"/>
    <col min="5129" max="5129" width="15" style="55" customWidth="1"/>
    <col min="5130" max="5376" width="9" style="55"/>
    <col min="5377" max="5377" width="6" style="55" customWidth="1"/>
    <col min="5378" max="5378" width="11.5703125" style="55" customWidth="1"/>
    <col min="5379" max="5379" width="45.42578125" style="55" customWidth="1"/>
    <col min="5380" max="5380" width="6.140625" style="55" customWidth="1"/>
    <col min="5381" max="5383" width="12.28515625" style="55" customWidth="1"/>
    <col min="5384" max="5384" width="15.140625" style="55" customWidth="1"/>
    <col min="5385" max="5385" width="15" style="55" customWidth="1"/>
    <col min="5386" max="5632" width="9" style="55"/>
    <col min="5633" max="5633" width="6" style="55" customWidth="1"/>
    <col min="5634" max="5634" width="11.5703125" style="55" customWidth="1"/>
    <col min="5635" max="5635" width="45.42578125" style="55" customWidth="1"/>
    <col min="5636" max="5636" width="6.140625" style="55" customWidth="1"/>
    <col min="5637" max="5639" width="12.28515625" style="55" customWidth="1"/>
    <col min="5640" max="5640" width="15.140625" style="55" customWidth="1"/>
    <col min="5641" max="5641" width="15" style="55" customWidth="1"/>
    <col min="5642" max="5888" width="9" style="55"/>
    <col min="5889" max="5889" width="6" style="55" customWidth="1"/>
    <col min="5890" max="5890" width="11.5703125" style="55" customWidth="1"/>
    <col min="5891" max="5891" width="45.42578125" style="55" customWidth="1"/>
    <col min="5892" max="5892" width="6.140625" style="55" customWidth="1"/>
    <col min="5893" max="5895" width="12.28515625" style="55" customWidth="1"/>
    <col min="5896" max="5896" width="15.140625" style="55" customWidth="1"/>
    <col min="5897" max="5897" width="15" style="55" customWidth="1"/>
    <col min="5898" max="6144" width="9" style="55"/>
    <col min="6145" max="6145" width="6" style="55" customWidth="1"/>
    <col min="6146" max="6146" width="11.5703125" style="55" customWidth="1"/>
    <col min="6147" max="6147" width="45.42578125" style="55" customWidth="1"/>
    <col min="6148" max="6148" width="6.140625" style="55" customWidth="1"/>
    <col min="6149" max="6151" width="12.28515625" style="55" customWidth="1"/>
    <col min="6152" max="6152" width="15.140625" style="55" customWidth="1"/>
    <col min="6153" max="6153" width="15" style="55" customWidth="1"/>
    <col min="6154" max="6400" width="9" style="55"/>
    <col min="6401" max="6401" width="6" style="55" customWidth="1"/>
    <col min="6402" max="6402" width="11.5703125" style="55" customWidth="1"/>
    <col min="6403" max="6403" width="45.42578125" style="55" customWidth="1"/>
    <col min="6404" max="6404" width="6.140625" style="55" customWidth="1"/>
    <col min="6405" max="6407" width="12.28515625" style="55" customWidth="1"/>
    <col min="6408" max="6408" width="15.140625" style="55" customWidth="1"/>
    <col min="6409" max="6409" width="15" style="55" customWidth="1"/>
    <col min="6410" max="6656" width="9" style="55"/>
    <col min="6657" max="6657" width="6" style="55" customWidth="1"/>
    <col min="6658" max="6658" width="11.5703125" style="55" customWidth="1"/>
    <col min="6659" max="6659" width="45.42578125" style="55" customWidth="1"/>
    <col min="6660" max="6660" width="6.140625" style="55" customWidth="1"/>
    <col min="6661" max="6663" width="12.28515625" style="55" customWidth="1"/>
    <col min="6664" max="6664" width="15.140625" style="55" customWidth="1"/>
    <col min="6665" max="6665" width="15" style="55" customWidth="1"/>
    <col min="6666" max="6912" width="9" style="55"/>
    <col min="6913" max="6913" width="6" style="55" customWidth="1"/>
    <col min="6914" max="6914" width="11.5703125" style="55" customWidth="1"/>
    <col min="6915" max="6915" width="45.42578125" style="55" customWidth="1"/>
    <col min="6916" max="6916" width="6.140625" style="55" customWidth="1"/>
    <col min="6917" max="6919" width="12.28515625" style="55" customWidth="1"/>
    <col min="6920" max="6920" width="15.140625" style="55" customWidth="1"/>
    <col min="6921" max="6921" width="15" style="55" customWidth="1"/>
    <col min="6922" max="7168" width="9" style="55"/>
    <col min="7169" max="7169" width="6" style="55" customWidth="1"/>
    <col min="7170" max="7170" width="11.5703125" style="55" customWidth="1"/>
    <col min="7171" max="7171" width="45.42578125" style="55" customWidth="1"/>
    <col min="7172" max="7172" width="6.140625" style="55" customWidth="1"/>
    <col min="7173" max="7175" width="12.28515625" style="55" customWidth="1"/>
    <col min="7176" max="7176" width="15.140625" style="55" customWidth="1"/>
    <col min="7177" max="7177" width="15" style="55" customWidth="1"/>
    <col min="7178" max="7424" width="9" style="55"/>
    <col min="7425" max="7425" width="6" style="55" customWidth="1"/>
    <col min="7426" max="7426" width="11.5703125" style="55" customWidth="1"/>
    <col min="7427" max="7427" width="45.42578125" style="55" customWidth="1"/>
    <col min="7428" max="7428" width="6.140625" style="55" customWidth="1"/>
    <col min="7429" max="7431" width="12.28515625" style="55" customWidth="1"/>
    <col min="7432" max="7432" width="15.140625" style="55" customWidth="1"/>
    <col min="7433" max="7433" width="15" style="55" customWidth="1"/>
    <col min="7434" max="7680" width="9" style="55"/>
    <col min="7681" max="7681" width="6" style="55" customWidth="1"/>
    <col min="7682" max="7682" width="11.5703125" style="55" customWidth="1"/>
    <col min="7683" max="7683" width="45.42578125" style="55" customWidth="1"/>
    <col min="7684" max="7684" width="6.140625" style="55" customWidth="1"/>
    <col min="7685" max="7687" width="12.28515625" style="55" customWidth="1"/>
    <col min="7688" max="7688" width="15.140625" style="55" customWidth="1"/>
    <col min="7689" max="7689" width="15" style="55" customWidth="1"/>
    <col min="7690" max="7936" width="9" style="55"/>
    <col min="7937" max="7937" width="6" style="55" customWidth="1"/>
    <col min="7938" max="7938" width="11.5703125" style="55" customWidth="1"/>
    <col min="7939" max="7939" width="45.42578125" style="55" customWidth="1"/>
    <col min="7940" max="7940" width="6.140625" style="55" customWidth="1"/>
    <col min="7941" max="7943" width="12.28515625" style="55" customWidth="1"/>
    <col min="7944" max="7944" width="15.140625" style="55" customWidth="1"/>
    <col min="7945" max="7945" width="15" style="55" customWidth="1"/>
    <col min="7946" max="8192" width="9" style="55"/>
    <col min="8193" max="8193" width="6" style="55" customWidth="1"/>
    <col min="8194" max="8194" width="11.5703125" style="55" customWidth="1"/>
    <col min="8195" max="8195" width="45.42578125" style="55" customWidth="1"/>
    <col min="8196" max="8196" width="6.140625" style="55" customWidth="1"/>
    <col min="8197" max="8199" width="12.28515625" style="55" customWidth="1"/>
    <col min="8200" max="8200" width="15.140625" style="55" customWidth="1"/>
    <col min="8201" max="8201" width="15" style="55" customWidth="1"/>
    <col min="8202" max="8448" width="9" style="55"/>
    <col min="8449" max="8449" width="6" style="55" customWidth="1"/>
    <col min="8450" max="8450" width="11.5703125" style="55" customWidth="1"/>
    <col min="8451" max="8451" width="45.42578125" style="55" customWidth="1"/>
    <col min="8452" max="8452" width="6.140625" style="55" customWidth="1"/>
    <col min="8453" max="8455" width="12.28515625" style="55" customWidth="1"/>
    <col min="8456" max="8456" width="15.140625" style="55" customWidth="1"/>
    <col min="8457" max="8457" width="15" style="55" customWidth="1"/>
    <col min="8458" max="8704" width="9" style="55"/>
    <col min="8705" max="8705" width="6" style="55" customWidth="1"/>
    <col min="8706" max="8706" width="11.5703125" style="55" customWidth="1"/>
    <col min="8707" max="8707" width="45.42578125" style="55" customWidth="1"/>
    <col min="8708" max="8708" width="6.140625" style="55" customWidth="1"/>
    <col min="8709" max="8711" width="12.28515625" style="55" customWidth="1"/>
    <col min="8712" max="8712" width="15.140625" style="55" customWidth="1"/>
    <col min="8713" max="8713" width="15" style="55" customWidth="1"/>
    <col min="8714" max="8960" width="9" style="55"/>
    <col min="8961" max="8961" width="6" style="55" customWidth="1"/>
    <col min="8962" max="8962" width="11.5703125" style="55" customWidth="1"/>
    <col min="8963" max="8963" width="45.42578125" style="55" customWidth="1"/>
    <col min="8964" max="8964" width="6.140625" style="55" customWidth="1"/>
    <col min="8965" max="8967" width="12.28515625" style="55" customWidth="1"/>
    <col min="8968" max="8968" width="15.140625" style="55" customWidth="1"/>
    <col min="8969" max="8969" width="15" style="55" customWidth="1"/>
    <col min="8970" max="9216" width="9" style="55"/>
    <col min="9217" max="9217" width="6" style="55" customWidth="1"/>
    <col min="9218" max="9218" width="11.5703125" style="55" customWidth="1"/>
    <col min="9219" max="9219" width="45.42578125" style="55" customWidth="1"/>
    <col min="9220" max="9220" width="6.140625" style="55" customWidth="1"/>
    <col min="9221" max="9223" width="12.28515625" style="55" customWidth="1"/>
    <col min="9224" max="9224" width="15.140625" style="55" customWidth="1"/>
    <col min="9225" max="9225" width="15" style="55" customWidth="1"/>
    <col min="9226" max="9472" width="9" style="55"/>
    <col min="9473" max="9473" width="6" style="55" customWidth="1"/>
    <col min="9474" max="9474" width="11.5703125" style="55" customWidth="1"/>
    <col min="9475" max="9475" width="45.42578125" style="55" customWidth="1"/>
    <col min="9476" max="9476" width="6.140625" style="55" customWidth="1"/>
    <col min="9477" max="9479" width="12.28515625" style="55" customWidth="1"/>
    <col min="9480" max="9480" width="15.140625" style="55" customWidth="1"/>
    <col min="9481" max="9481" width="15" style="55" customWidth="1"/>
    <col min="9482" max="9728" width="9" style="55"/>
    <col min="9729" max="9729" width="6" style="55" customWidth="1"/>
    <col min="9730" max="9730" width="11.5703125" style="55" customWidth="1"/>
    <col min="9731" max="9731" width="45.42578125" style="55" customWidth="1"/>
    <col min="9732" max="9732" width="6.140625" style="55" customWidth="1"/>
    <col min="9733" max="9735" width="12.28515625" style="55" customWidth="1"/>
    <col min="9736" max="9736" width="15.140625" style="55" customWidth="1"/>
    <col min="9737" max="9737" width="15" style="55" customWidth="1"/>
    <col min="9738" max="9984" width="9" style="55"/>
    <col min="9985" max="9985" width="6" style="55" customWidth="1"/>
    <col min="9986" max="9986" width="11.5703125" style="55" customWidth="1"/>
    <col min="9987" max="9987" width="45.42578125" style="55" customWidth="1"/>
    <col min="9988" max="9988" width="6.140625" style="55" customWidth="1"/>
    <col min="9989" max="9991" width="12.28515625" style="55" customWidth="1"/>
    <col min="9992" max="9992" width="15.140625" style="55" customWidth="1"/>
    <col min="9993" max="9993" width="15" style="55" customWidth="1"/>
    <col min="9994" max="10240" width="9" style="55"/>
    <col min="10241" max="10241" width="6" style="55" customWidth="1"/>
    <col min="10242" max="10242" width="11.5703125" style="55" customWidth="1"/>
    <col min="10243" max="10243" width="45.42578125" style="55" customWidth="1"/>
    <col min="10244" max="10244" width="6.140625" style="55" customWidth="1"/>
    <col min="10245" max="10247" width="12.28515625" style="55" customWidth="1"/>
    <col min="10248" max="10248" width="15.140625" style="55" customWidth="1"/>
    <col min="10249" max="10249" width="15" style="55" customWidth="1"/>
    <col min="10250" max="10496" width="9" style="55"/>
    <col min="10497" max="10497" width="6" style="55" customWidth="1"/>
    <col min="10498" max="10498" width="11.5703125" style="55" customWidth="1"/>
    <col min="10499" max="10499" width="45.42578125" style="55" customWidth="1"/>
    <col min="10500" max="10500" width="6.140625" style="55" customWidth="1"/>
    <col min="10501" max="10503" width="12.28515625" style="55" customWidth="1"/>
    <col min="10504" max="10504" width="15.140625" style="55" customWidth="1"/>
    <col min="10505" max="10505" width="15" style="55" customWidth="1"/>
    <col min="10506" max="10752" width="9" style="55"/>
    <col min="10753" max="10753" width="6" style="55" customWidth="1"/>
    <col min="10754" max="10754" width="11.5703125" style="55" customWidth="1"/>
    <col min="10755" max="10755" width="45.42578125" style="55" customWidth="1"/>
    <col min="10756" max="10756" width="6.140625" style="55" customWidth="1"/>
    <col min="10757" max="10759" width="12.28515625" style="55" customWidth="1"/>
    <col min="10760" max="10760" width="15.140625" style="55" customWidth="1"/>
    <col min="10761" max="10761" width="15" style="55" customWidth="1"/>
    <col min="10762" max="11008" width="9" style="55"/>
    <col min="11009" max="11009" width="6" style="55" customWidth="1"/>
    <col min="11010" max="11010" width="11.5703125" style="55" customWidth="1"/>
    <col min="11011" max="11011" width="45.42578125" style="55" customWidth="1"/>
    <col min="11012" max="11012" width="6.140625" style="55" customWidth="1"/>
    <col min="11013" max="11015" width="12.28515625" style="55" customWidth="1"/>
    <col min="11016" max="11016" width="15.140625" style="55" customWidth="1"/>
    <col min="11017" max="11017" width="15" style="55" customWidth="1"/>
    <col min="11018" max="11264" width="9" style="55"/>
    <col min="11265" max="11265" width="6" style="55" customWidth="1"/>
    <col min="11266" max="11266" width="11.5703125" style="55" customWidth="1"/>
    <col min="11267" max="11267" width="45.42578125" style="55" customWidth="1"/>
    <col min="11268" max="11268" width="6.140625" style="55" customWidth="1"/>
    <col min="11269" max="11271" width="12.28515625" style="55" customWidth="1"/>
    <col min="11272" max="11272" width="15.140625" style="55" customWidth="1"/>
    <col min="11273" max="11273" width="15" style="55" customWidth="1"/>
    <col min="11274" max="11520" width="9" style="55"/>
    <col min="11521" max="11521" width="6" style="55" customWidth="1"/>
    <col min="11522" max="11522" width="11.5703125" style="55" customWidth="1"/>
    <col min="11523" max="11523" width="45.42578125" style="55" customWidth="1"/>
    <col min="11524" max="11524" width="6.140625" style="55" customWidth="1"/>
    <col min="11525" max="11527" width="12.28515625" style="55" customWidth="1"/>
    <col min="11528" max="11528" width="15.140625" style="55" customWidth="1"/>
    <col min="11529" max="11529" width="15" style="55" customWidth="1"/>
    <col min="11530" max="11776" width="9" style="55"/>
    <col min="11777" max="11777" width="6" style="55" customWidth="1"/>
    <col min="11778" max="11778" width="11.5703125" style="55" customWidth="1"/>
    <col min="11779" max="11779" width="45.42578125" style="55" customWidth="1"/>
    <col min="11780" max="11780" width="6.140625" style="55" customWidth="1"/>
    <col min="11781" max="11783" width="12.28515625" style="55" customWidth="1"/>
    <col min="11784" max="11784" width="15.140625" style="55" customWidth="1"/>
    <col min="11785" max="11785" width="15" style="55" customWidth="1"/>
    <col min="11786" max="12032" width="9" style="55"/>
    <col min="12033" max="12033" width="6" style="55" customWidth="1"/>
    <col min="12034" max="12034" width="11.5703125" style="55" customWidth="1"/>
    <col min="12035" max="12035" width="45.42578125" style="55" customWidth="1"/>
    <col min="12036" max="12036" width="6.140625" style="55" customWidth="1"/>
    <col min="12037" max="12039" width="12.28515625" style="55" customWidth="1"/>
    <col min="12040" max="12040" width="15.140625" style="55" customWidth="1"/>
    <col min="12041" max="12041" width="15" style="55" customWidth="1"/>
    <col min="12042" max="12288" width="9" style="55"/>
    <col min="12289" max="12289" width="6" style="55" customWidth="1"/>
    <col min="12290" max="12290" width="11.5703125" style="55" customWidth="1"/>
    <col min="12291" max="12291" width="45.42578125" style="55" customWidth="1"/>
    <col min="12292" max="12292" width="6.140625" style="55" customWidth="1"/>
    <col min="12293" max="12295" width="12.28515625" style="55" customWidth="1"/>
    <col min="12296" max="12296" width="15.140625" style="55" customWidth="1"/>
    <col min="12297" max="12297" width="15" style="55" customWidth="1"/>
    <col min="12298" max="12544" width="9" style="55"/>
    <col min="12545" max="12545" width="6" style="55" customWidth="1"/>
    <col min="12546" max="12546" width="11.5703125" style="55" customWidth="1"/>
    <col min="12547" max="12547" width="45.42578125" style="55" customWidth="1"/>
    <col min="12548" max="12548" width="6.140625" style="55" customWidth="1"/>
    <col min="12549" max="12551" width="12.28515625" style="55" customWidth="1"/>
    <col min="12552" max="12552" width="15.140625" style="55" customWidth="1"/>
    <col min="12553" max="12553" width="15" style="55" customWidth="1"/>
    <col min="12554" max="12800" width="9" style="55"/>
    <col min="12801" max="12801" width="6" style="55" customWidth="1"/>
    <col min="12802" max="12802" width="11.5703125" style="55" customWidth="1"/>
    <col min="12803" max="12803" width="45.42578125" style="55" customWidth="1"/>
    <col min="12804" max="12804" width="6.140625" style="55" customWidth="1"/>
    <col min="12805" max="12807" width="12.28515625" style="55" customWidth="1"/>
    <col min="12808" max="12808" width="15.140625" style="55" customWidth="1"/>
    <col min="12809" max="12809" width="15" style="55" customWidth="1"/>
    <col min="12810" max="13056" width="9" style="55"/>
    <col min="13057" max="13057" width="6" style="55" customWidth="1"/>
    <col min="13058" max="13058" width="11.5703125" style="55" customWidth="1"/>
    <col min="13059" max="13059" width="45.42578125" style="55" customWidth="1"/>
    <col min="13060" max="13060" width="6.140625" style="55" customWidth="1"/>
    <col min="13061" max="13063" width="12.28515625" style="55" customWidth="1"/>
    <col min="13064" max="13064" width="15.140625" style="55" customWidth="1"/>
    <col min="13065" max="13065" width="15" style="55" customWidth="1"/>
    <col min="13066" max="13312" width="9" style="55"/>
    <col min="13313" max="13313" width="6" style="55" customWidth="1"/>
    <col min="13314" max="13314" width="11.5703125" style="55" customWidth="1"/>
    <col min="13315" max="13315" width="45.42578125" style="55" customWidth="1"/>
    <col min="13316" max="13316" width="6.140625" style="55" customWidth="1"/>
    <col min="13317" max="13319" width="12.28515625" style="55" customWidth="1"/>
    <col min="13320" max="13320" width="15.140625" style="55" customWidth="1"/>
    <col min="13321" max="13321" width="15" style="55" customWidth="1"/>
    <col min="13322" max="13568" width="9" style="55"/>
    <col min="13569" max="13569" width="6" style="55" customWidth="1"/>
    <col min="13570" max="13570" width="11.5703125" style="55" customWidth="1"/>
    <col min="13571" max="13571" width="45.42578125" style="55" customWidth="1"/>
    <col min="13572" max="13572" width="6.140625" style="55" customWidth="1"/>
    <col min="13573" max="13575" width="12.28515625" style="55" customWidth="1"/>
    <col min="13576" max="13576" width="15.140625" style="55" customWidth="1"/>
    <col min="13577" max="13577" width="15" style="55" customWidth="1"/>
    <col min="13578" max="13824" width="9" style="55"/>
    <col min="13825" max="13825" width="6" style="55" customWidth="1"/>
    <col min="13826" max="13826" width="11.5703125" style="55" customWidth="1"/>
    <col min="13827" max="13827" width="45.42578125" style="55" customWidth="1"/>
    <col min="13828" max="13828" width="6.140625" style="55" customWidth="1"/>
    <col min="13829" max="13831" width="12.28515625" style="55" customWidth="1"/>
    <col min="13832" max="13832" width="15.140625" style="55" customWidth="1"/>
    <col min="13833" max="13833" width="15" style="55" customWidth="1"/>
    <col min="13834" max="14080" width="9" style="55"/>
    <col min="14081" max="14081" width="6" style="55" customWidth="1"/>
    <col min="14082" max="14082" width="11.5703125" style="55" customWidth="1"/>
    <col min="14083" max="14083" width="45.42578125" style="55" customWidth="1"/>
    <col min="14084" max="14084" width="6.140625" style="55" customWidth="1"/>
    <col min="14085" max="14087" width="12.28515625" style="55" customWidth="1"/>
    <col min="14088" max="14088" width="15.140625" style="55" customWidth="1"/>
    <col min="14089" max="14089" width="15" style="55" customWidth="1"/>
    <col min="14090" max="14336" width="9" style="55"/>
    <col min="14337" max="14337" width="6" style="55" customWidth="1"/>
    <col min="14338" max="14338" width="11.5703125" style="55" customWidth="1"/>
    <col min="14339" max="14339" width="45.42578125" style="55" customWidth="1"/>
    <col min="14340" max="14340" width="6.140625" style="55" customWidth="1"/>
    <col min="14341" max="14343" width="12.28515625" style="55" customWidth="1"/>
    <col min="14344" max="14344" width="15.140625" style="55" customWidth="1"/>
    <col min="14345" max="14345" width="15" style="55" customWidth="1"/>
    <col min="14346" max="14592" width="9" style="55"/>
    <col min="14593" max="14593" width="6" style="55" customWidth="1"/>
    <col min="14594" max="14594" width="11.5703125" style="55" customWidth="1"/>
    <col min="14595" max="14595" width="45.42578125" style="55" customWidth="1"/>
    <col min="14596" max="14596" width="6.140625" style="55" customWidth="1"/>
    <col min="14597" max="14599" width="12.28515625" style="55" customWidth="1"/>
    <col min="14600" max="14600" width="15.140625" style="55" customWidth="1"/>
    <col min="14601" max="14601" width="15" style="55" customWidth="1"/>
    <col min="14602" max="14848" width="9" style="55"/>
    <col min="14849" max="14849" width="6" style="55" customWidth="1"/>
    <col min="14850" max="14850" width="11.5703125" style="55" customWidth="1"/>
    <col min="14851" max="14851" width="45.42578125" style="55" customWidth="1"/>
    <col min="14852" max="14852" width="6.140625" style="55" customWidth="1"/>
    <col min="14853" max="14855" width="12.28515625" style="55" customWidth="1"/>
    <col min="14856" max="14856" width="15.140625" style="55" customWidth="1"/>
    <col min="14857" max="14857" width="15" style="55" customWidth="1"/>
    <col min="14858" max="15104" width="9" style="55"/>
    <col min="15105" max="15105" width="6" style="55" customWidth="1"/>
    <col min="15106" max="15106" width="11.5703125" style="55" customWidth="1"/>
    <col min="15107" max="15107" width="45.42578125" style="55" customWidth="1"/>
    <col min="15108" max="15108" width="6.140625" style="55" customWidth="1"/>
    <col min="15109" max="15111" width="12.28515625" style="55" customWidth="1"/>
    <col min="15112" max="15112" width="15.140625" style="55" customWidth="1"/>
    <col min="15113" max="15113" width="15" style="55" customWidth="1"/>
    <col min="15114" max="15360" width="9" style="55"/>
    <col min="15361" max="15361" width="6" style="55" customWidth="1"/>
    <col min="15362" max="15362" width="11.5703125" style="55" customWidth="1"/>
    <col min="15363" max="15363" width="45.42578125" style="55" customWidth="1"/>
    <col min="15364" max="15364" width="6.140625" style="55" customWidth="1"/>
    <col min="15365" max="15367" width="12.28515625" style="55" customWidth="1"/>
    <col min="15368" max="15368" width="15.140625" style="55" customWidth="1"/>
    <col min="15369" max="15369" width="15" style="55" customWidth="1"/>
    <col min="15370" max="15616" width="9" style="55"/>
    <col min="15617" max="15617" width="6" style="55" customWidth="1"/>
    <col min="15618" max="15618" width="11.5703125" style="55" customWidth="1"/>
    <col min="15619" max="15619" width="45.42578125" style="55" customWidth="1"/>
    <col min="15620" max="15620" width="6.140625" style="55" customWidth="1"/>
    <col min="15621" max="15623" width="12.28515625" style="55" customWidth="1"/>
    <col min="15624" max="15624" width="15.140625" style="55" customWidth="1"/>
    <col min="15625" max="15625" width="15" style="55" customWidth="1"/>
    <col min="15626" max="15872" width="9" style="55"/>
    <col min="15873" max="15873" width="6" style="55" customWidth="1"/>
    <col min="15874" max="15874" width="11.5703125" style="55" customWidth="1"/>
    <col min="15875" max="15875" width="45.42578125" style="55" customWidth="1"/>
    <col min="15876" max="15876" width="6.140625" style="55" customWidth="1"/>
    <col min="15877" max="15879" width="12.28515625" style="55" customWidth="1"/>
    <col min="15880" max="15880" width="15.140625" style="55" customWidth="1"/>
    <col min="15881" max="15881" width="15" style="55" customWidth="1"/>
    <col min="15882" max="16128" width="9" style="55"/>
    <col min="16129" max="16129" width="6" style="55" customWidth="1"/>
    <col min="16130" max="16130" width="11.5703125" style="55" customWidth="1"/>
    <col min="16131" max="16131" width="45.42578125" style="55" customWidth="1"/>
    <col min="16132" max="16132" width="6.140625" style="55" customWidth="1"/>
    <col min="16133" max="16135" width="12.28515625" style="55" customWidth="1"/>
    <col min="16136" max="16136" width="15.140625" style="55" customWidth="1"/>
    <col min="16137" max="16137" width="15" style="55" customWidth="1"/>
    <col min="16138" max="16384" width="9" style="55"/>
  </cols>
  <sheetData>
    <row r="1" spans="1:10" x14ac:dyDescent="0.25">
      <c r="A1" s="55" t="s">
        <v>16</v>
      </c>
    </row>
    <row r="2" spans="1:10" x14ac:dyDescent="0.25">
      <c r="A2" s="55" t="s">
        <v>1</v>
      </c>
    </row>
    <row r="4" spans="1:10" x14ac:dyDescent="0.25">
      <c r="A4" s="273" t="str">
        <f>+'[1]Hộp oto'!A4:I5</f>
        <v>THẺ KHO NGUYÊN VẬT LIỆU</v>
      </c>
      <c r="B4" s="273"/>
      <c r="C4" s="273"/>
      <c r="D4" s="273"/>
      <c r="E4" s="273"/>
      <c r="F4" s="273"/>
      <c r="G4" s="273"/>
      <c r="H4" s="273"/>
      <c r="I4" s="273"/>
    </row>
    <row r="5" spans="1:10" x14ac:dyDescent="0.25">
      <c r="A5" s="273"/>
      <c r="B5" s="273"/>
      <c r="C5" s="273"/>
      <c r="D5" s="273"/>
      <c r="E5" s="273"/>
      <c r="F5" s="273"/>
      <c r="G5" s="273"/>
      <c r="H5" s="273"/>
      <c r="I5" s="273"/>
    </row>
    <row r="7" spans="1:10" ht="33.75" customHeight="1" x14ac:dyDescent="0.25">
      <c r="A7" s="65" t="s">
        <v>3</v>
      </c>
      <c r="B7" s="65" t="s">
        <v>4</v>
      </c>
      <c r="C7" s="4" t="s">
        <v>31</v>
      </c>
      <c r="D7" s="65" t="s">
        <v>5</v>
      </c>
      <c r="E7" s="121" t="s">
        <v>6</v>
      </c>
      <c r="F7" s="114" t="s">
        <v>7</v>
      </c>
      <c r="G7" s="112" t="s">
        <v>8</v>
      </c>
      <c r="H7" s="82" t="s">
        <v>9</v>
      </c>
      <c r="I7" s="82" t="s">
        <v>10</v>
      </c>
    </row>
    <row r="8" spans="1:10" s="90" customFormat="1" ht="18" customHeight="1" x14ac:dyDescent="0.25">
      <c r="A8" s="83"/>
      <c r="B8" s="84"/>
      <c r="C8" s="85" t="s">
        <v>14</v>
      </c>
      <c r="D8" s="61" t="s">
        <v>17</v>
      </c>
      <c r="E8" s="86"/>
      <c r="F8" s="86"/>
      <c r="G8" s="87"/>
      <c r="H8" s="88"/>
      <c r="I8" s="89"/>
    </row>
    <row r="9" spans="1:10" ht="18" customHeight="1" x14ac:dyDescent="0.25">
      <c r="A9" s="58"/>
      <c r="B9" s="59">
        <v>45714</v>
      </c>
      <c r="C9" s="66" t="s">
        <v>83</v>
      </c>
      <c r="D9" s="61" t="s">
        <v>17</v>
      </c>
      <c r="E9" s="62">
        <v>41.6</v>
      </c>
      <c r="F9" s="62"/>
      <c r="G9" s="91">
        <f>+G8+E9-F9</f>
        <v>41.6</v>
      </c>
      <c r="H9" s="92" t="s">
        <v>32</v>
      </c>
      <c r="I9" s="92" t="s">
        <v>25</v>
      </c>
    </row>
    <row r="10" spans="1:10" ht="18" customHeight="1" x14ac:dyDescent="0.25">
      <c r="A10" s="58"/>
      <c r="B10" s="59">
        <v>45724</v>
      </c>
      <c r="C10" s="66" t="s">
        <v>83</v>
      </c>
      <c r="D10" s="61" t="s">
        <v>17</v>
      </c>
      <c r="E10" s="62"/>
      <c r="F10" s="93">
        <v>7.5</v>
      </c>
      <c r="G10" s="91">
        <f t="shared" ref="G10:G73" si="0">+G9+E10-F10</f>
        <v>34.1</v>
      </c>
      <c r="H10" s="92" t="s">
        <v>32</v>
      </c>
      <c r="I10" s="92" t="s">
        <v>25</v>
      </c>
    </row>
    <row r="11" spans="1:10" ht="18" customHeight="1" x14ac:dyDescent="0.25">
      <c r="A11" s="58"/>
      <c r="B11" s="70">
        <v>45726</v>
      </c>
      <c r="C11" s="66" t="s">
        <v>83</v>
      </c>
      <c r="D11" s="61" t="s">
        <v>17</v>
      </c>
      <c r="E11" s="62"/>
      <c r="F11" s="93">
        <v>12</v>
      </c>
      <c r="G11" s="91">
        <f t="shared" si="0"/>
        <v>22.1</v>
      </c>
      <c r="H11" s="92" t="s">
        <v>32</v>
      </c>
      <c r="I11" s="92" t="s">
        <v>25</v>
      </c>
    </row>
    <row r="12" spans="1:10" ht="18" customHeight="1" x14ac:dyDescent="0.25">
      <c r="A12" s="58"/>
      <c r="B12" s="59">
        <v>45727</v>
      </c>
      <c r="C12" s="66"/>
      <c r="D12" s="61"/>
      <c r="E12" s="62"/>
      <c r="F12" s="93">
        <v>11.3</v>
      </c>
      <c r="G12" s="91">
        <f t="shared" si="0"/>
        <v>10.8</v>
      </c>
      <c r="H12" s="92" t="s">
        <v>32</v>
      </c>
      <c r="I12" s="92" t="s">
        <v>25</v>
      </c>
    </row>
    <row r="13" spans="1:10" ht="18" customHeight="1" x14ac:dyDescent="0.25">
      <c r="A13" s="58"/>
      <c r="B13" s="59">
        <v>45728</v>
      </c>
      <c r="C13" s="66"/>
      <c r="D13" s="61"/>
      <c r="E13" s="62"/>
      <c r="F13" s="93">
        <v>11.7</v>
      </c>
      <c r="G13" s="91">
        <f t="shared" si="0"/>
        <v>-0.89999999999999858</v>
      </c>
      <c r="H13" s="92" t="s">
        <v>32</v>
      </c>
      <c r="I13" s="92" t="s">
        <v>25</v>
      </c>
    </row>
    <row r="14" spans="1:10" ht="18" customHeight="1" x14ac:dyDescent="0.25">
      <c r="A14" s="58"/>
      <c r="B14" s="59"/>
      <c r="C14" s="66"/>
      <c r="D14" s="61"/>
      <c r="E14" s="62"/>
      <c r="F14" s="93"/>
      <c r="G14" s="91">
        <f t="shared" si="0"/>
        <v>-0.89999999999999858</v>
      </c>
      <c r="H14" s="92" t="s">
        <v>32</v>
      </c>
      <c r="I14" s="92" t="s">
        <v>25</v>
      </c>
    </row>
    <row r="15" spans="1:10" ht="18" customHeight="1" x14ac:dyDescent="0.25">
      <c r="A15" s="58"/>
      <c r="B15" s="59"/>
      <c r="C15" s="66"/>
      <c r="D15" s="61"/>
      <c r="E15" s="62"/>
      <c r="F15" s="93"/>
      <c r="G15" s="91">
        <f t="shared" si="0"/>
        <v>-0.89999999999999858</v>
      </c>
      <c r="H15" s="92" t="s">
        <v>32</v>
      </c>
      <c r="I15" s="92" t="s">
        <v>25</v>
      </c>
    </row>
    <row r="16" spans="1:10" ht="18" customHeight="1" x14ac:dyDescent="0.25">
      <c r="A16" s="58"/>
      <c r="B16" s="59"/>
      <c r="C16" s="66"/>
      <c r="D16" s="61"/>
      <c r="E16" s="62"/>
      <c r="F16" s="93"/>
      <c r="G16" s="91">
        <f t="shared" si="0"/>
        <v>-0.89999999999999858</v>
      </c>
      <c r="H16" s="92" t="s">
        <v>32</v>
      </c>
      <c r="I16" s="92" t="s">
        <v>25</v>
      </c>
      <c r="J16" s="72"/>
    </row>
    <row r="17" spans="1:10" ht="18" customHeight="1" x14ac:dyDescent="0.25">
      <c r="A17" s="58"/>
      <c r="B17" s="94"/>
      <c r="C17" s="66"/>
      <c r="D17" s="61"/>
      <c r="E17" s="62"/>
      <c r="F17" s="62"/>
      <c r="G17" s="91">
        <f t="shared" si="0"/>
        <v>-0.89999999999999858</v>
      </c>
      <c r="H17" s="92" t="s">
        <v>32</v>
      </c>
      <c r="I17" s="92" t="s">
        <v>25</v>
      </c>
      <c r="J17" s="72"/>
    </row>
    <row r="18" spans="1:10" ht="18" customHeight="1" x14ac:dyDescent="0.25">
      <c r="A18" s="96"/>
      <c r="B18" s="97"/>
      <c r="C18" s="153"/>
      <c r="D18" s="154"/>
      <c r="E18" s="122"/>
      <c r="F18" s="115"/>
      <c r="G18" s="155">
        <f t="shared" si="0"/>
        <v>-0.89999999999999858</v>
      </c>
      <c r="H18" s="156" t="s">
        <v>32</v>
      </c>
      <c r="I18" s="157" t="s">
        <v>38</v>
      </c>
      <c r="J18" s="72"/>
    </row>
    <row r="19" spans="1:10" ht="18" customHeight="1" x14ac:dyDescent="0.25">
      <c r="A19" s="58"/>
      <c r="B19" s="59"/>
      <c r="C19" s="66"/>
      <c r="D19" s="61"/>
      <c r="E19" s="62"/>
      <c r="F19" s="93"/>
      <c r="G19" s="91">
        <f t="shared" si="0"/>
        <v>-0.89999999999999858</v>
      </c>
      <c r="H19" s="92" t="s">
        <v>32</v>
      </c>
      <c r="I19" s="92" t="s">
        <v>25</v>
      </c>
      <c r="J19" s="72"/>
    </row>
    <row r="20" spans="1:10" ht="18" customHeight="1" x14ac:dyDescent="0.25">
      <c r="A20" s="58"/>
      <c r="B20" s="59"/>
      <c r="C20" s="66"/>
      <c r="D20" s="61"/>
      <c r="E20" s="62"/>
      <c r="F20" s="93"/>
      <c r="G20" s="91">
        <f t="shared" si="0"/>
        <v>-0.89999999999999858</v>
      </c>
      <c r="H20" s="92" t="s">
        <v>32</v>
      </c>
      <c r="I20" s="92" t="s">
        <v>25</v>
      </c>
      <c r="J20" s="72"/>
    </row>
    <row r="21" spans="1:10" ht="18" customHeight="1" x14ac:dyDescent="0.25">
      <c r="A21" s="58"/>
      <c r="B21" s="59"/>
      <c r="C21" s="66"/>
      <c r="D21" s="61"/>
      <c r="E21" s="62"/>
      <c r="F21" s="93"/>
      <c r="G21" s="91">
        <f t="shared" si="0"/>
        <v>-0.89999999999999858</v>
      </c>
      <c r="H21" s="92" t="s">
        <v>32</v>
      </c>
      <c r="I21" s="92" t="s">
        <v>25</v>
      </c>
      <c r="J21" s="72"/>
    </row>
    <row r="22" spans="1:10" ht="18" customHeight="1" x14ac:dyDescent="0.25">
      <c r="A22" s="58"/>
      <c r="B22" s="59"/>
      <c r="C22" s="66"/>
      <c r="D22" s="61"/>
      <c r="E22" s="62"/>
      <c r="F22" s="62"/>
      <c r="G22" s="91">
        <f t="shared" si="0"/>
        <v>-0.89999999999999858</v>
      </c>
      <c r="H22" s="92" t="s">
        <v>32</v>
      </c>
      <c r="I22" s="92" t="s">
        <v>25</v>
      </c>
      <c r="J22" s="72"/>
    </row>
    <row r="23" spans="1:10" ht="18" customHeight="1" x14ac:dyDescent="0.25">
      <c r="A23" s="58"/>
      <c r="B23" s="59"/>
      <c r="C23" s="66"/>
      <c r="D23" s="61"/>
      <c r="E23" s="62"/>
      <c r="F23" s="93"/>
      <c r="G23" s="91">
        <f t="shared" si="0"/>
        <v>-0.89999999999999858</v>
      </c>
      <c r="H23" s="92" t="s">
        <v>32</v>
      </c>
      <c r="I23" s="92" t="s">
        <v>25</v>
      </c>
      <c r="J23" s="72"/>
    </row>
    <row r="24" spans="1:10" ht="18" customHeight="1" x14ac:dyDescent="0.25">
      <c r="A24" s="58"/>
      <c r="B24" s="59"/>
      <c r="C24" s="66"/>
      <c r="D24" s="61"/>
      <c r="E24" s="62"/>
      <c r="F24" s="93"/>
      <c r="G24" s="91">
        <f t="shared" si="0"/>
        <v>-0.89999999999999858</v>
      </c>
      <c r="H24" s="92" t="s">
        <v>32</v>
      </c>
      <c r="I24" s="92" t="s">
        <v>39</v>
      </c>
    </row>
    <row r="25" spans="1:10" ht="18" customHeight="1" x14ac:dyDescent="0.25">
      <c r="A25" s="58"/>
      <c r="B25" s="59"/>
      <c r="C25" s="66"/>
      <c r="D25" s="61"/>
      <c r="E25" s="62"/>
      <c r="F25" s="93"/>
      <c r="G25" s="91">
        <f t="shared" si="0"/>
        <v>-0.89999999999999858</v>
      </c>
      <c r="H25" s="92" t="s">
        <v>32</v>
      </c>
      <c r="I25" s="92" t="s">
        <v>25</v>
      </c>
    </row>
    <row r="26" spans="1:10" ht="18" customHeight="1" x14ac:dyDescent="0.25">
      <c r="A26" s="58"/>
      <c r="B26" s="59"/>
      <c r="C26" s="66"/>
      <c r="D26" s="61"/>
      <c r="E26" s="62"/>
      <c r="F26" s="93"/>
      <c r="G26" s="91">
        <f t="shared" si="0"/>
        <v>-0.89999999999999858</v>
      </c>
      <c r="H26" s="92" t="s">
        <v>32</v>
      </c>
      <c r="I26" s="92" t="s">
        <v>25</v>
      </c>
    </row>
    <row r="27" spans="1:10" s="98" customFormat="1" ht="18" customHeight="1" x14ac:dyDescent="0.25">
      <c r="A27" s="96"/>
      <c r="B27" s="97"/>
      <c r="C27" s="66"/>
      <c r="D27" s="61"/>
      <c r="E27" s="122"/>
      <c r="F27" s="115"/>
      <c r="G27" s="91">
        <f t="shared" si="0"/>
        <v>-0.89999999999999858</v>
      </c>
      <c r="H27" s="92" t="s">
        <v>32</v>
      </c>
      <c r="I27" s="92" t="s">
        <v>25</v>
      </c>
    </row>
    <row r="28" spans="1:10" ht="18" customHeight="1" x14ac:dyDescent="0.25">
      <c r="A28" s="58"/>
      <c r="B28" s="59"/>
      <c r="C28" s="66"/>
      <c r="D28" s="61"/>
      <c r="E28" s="62"/>
      <c r="F28" s="93"/>
      <c r="G28" s="91">
        <f t="shared" si="0"/>
        <v>-0.89999999999999858</v>
      </c>
      <c r="H28" s="92" t="s">
        <v>32</v>
      </c>
      <c r="I28" s="92" t="s">
        <v>25</v>
      </c>
    </row>
    <row r="29" spans="1:10" ht="18" customHeight="1" x14ac:dyDescent="0.25">
      <c r="A29" s="58"/>
      <c r="B29" s="59"/>
      <c r="C29" s="66"/>
      <c r="D29" s="61"/>
      <c r="E29" s="62"/>
      <c r="F29" s="62"/>
      <c r="G29" s="91">
        <f t="shared" si="0"/>
        <v>-0.89999999999999858</v>
      </c>
      <c r="H29" s="92" t="s">
        <v>32</v>
      </c>
      <c r="I29" s="92" t="s">
        <v>25</v>
      </c>
    </row>
    <row r="30" spans="1:10" ht="18" customHeight="1" x14ac:dyDescent="0.25">
      <c r="A30" s="58"/>
      <c r="B30" s="59"/>
      <c r="C30" s="66"/>
      <c r="D30" s="61"/>
      <c r="E30" s="62"/>
      <c r="F30" s="62"/>
      <c r="G30" s="91">
        <f t="shared" si="0"/>
        <v>-0.89999999999999858</v>
      </c>
      <c r="H30" s="92" t="s">
        <v>32</v>
      </c>
      <c r="I30" s="92" t="s">
        <v>25</v>
      </c>
    </row>
    <row r="31" spans="1:10" ht="18" customHeight="1" x14ac:dyDescent="0.25">
      <c r="A31" s="58"/>
      <c r="B31" s="59"/>
      <c r="C31" s="66"/>
      <c r="D31" s="61"/>
      <c r="E31" s="62"/>
      <c r="F31" s="62"/>
      <c r="G31" s="91">
        <f t="shared" si="0"/>
        <v>-0.89999999999999858</v>
      </c>
      <c r="H31" s="92" t="s">
        <v>32</v>
      </c>
      <c r="I31" s="92" t="s">
        <v>25</v>
      </c>
    </row>
    <row r="32" spans="1:10" ht="18" customHeight="1" x14ac:dyDescent="0.25">
      <c r="A32" s="58"/>
      <c r="B32" s="59"/>
      <c r="C32" s="66"/>
      <c r="D32" s="61"/>
      <c r="E32" s="62"/>
      <c r="F32" s="62"/>
      <c r="G32" s="91">
        <f t="shared" si="0"/>
        <v>-0.89999999999999858</v>
      </c>
      <c r="H32" s="92" t="s">
        <v>32</v>
      </c>
      <c r="I32" s="92" t="s">
        <v>25</v>
      </c>
    </row>
    <row r="33" spans="1:9" ht="18" customHeight="1" x14ac:dyDescent="0.25">
      <c r="A33" s="58"/>
      <c r="B33" s="59"/>
      <c r="C33" s="66"/>
      <c r="D33" s="61"/>
      <c r="E33" s="62"/>
      <c r="F33" s="62"/>
      <c r="G33" s="91">
        <f t="shared" si="0"/>
        <v>-0.89999999999999858</v>
      </c>
      <c r="H33" s="92" t="s">
        <v>32</v>
      </c>
      <c r="I33" s="92" t="s">
        <v>25</v>
      </c>
    </row>
    <row r="34" spans="1:9" ht="18" customHeight="1" x14ac:dyDescent="0.25">
      <c r="A34" s="58"/>
      <c r="B34" s="59"/>
      <c r="C34" s="66"/>
      <c r="D34" s="61"/>
      <c r="E34" s="62"/>
      <c r="F34" s="62"/>
      <c r="G34" s="91">
        <f t="shared" si="0"/>
        <v>-0.89999999999999858</v>
      </c>
      <c r="H34" s="92" t="s">
        <v>32</v>
      </c>
      <c r="I34" s="92" t="s">
        <v>25</v>
      </c>
    </row>
    <row r="35" spans="1:9" ht="18" customHeight="1" x14ac:dyDescent="0.25">
      <c r="A35" s="58"/>
      <c r="B35" s="59"/>
      <c r="C35" s="66"/>
      <c r="D35" s="61"/>
      <c r="E35" s="62"/>
      <c r="F35" s="62"/>
      <c r="G35" s="91">
        <f t="shared" si="0"/>
        <v>-0.89999999999999858</v>
      </c>
      <c r="H35" s="92" t="s">
        <v>32</v>
      </c>
      <c r="I35" s="92" t="s">
        <v>25</v>
      </c>
    </row>
    <row r="36" spans="1:9" ht="18" customHeight="1" x14ac:dyDescent="0.25">
      <c r="A36" s="58"/>
      <c r="B36" s="59"/>
      <c r="C36" s="66"/>
      <c r="D36" s="61"/>
      <c r="E36" s="62"/>
      <c r="F36" s="62"/>
      <c r="G36" s="91">
        <f t="shared" si="0"/>
        <v>-0.89999999999999858</v>
      </c>
      <c r="H36" s="92" t="s">
        <v>32</v>
      </c>
      <c r="I36" s="92" t="s">
        <v>25</v>
      </c>
    </row>
    <row r="37" spans="1:9" ht="18" customHeight="1" x14ac:dyDescent="0.25">
      <c r="A37" s="58"/>
      <c r="B37" s="59"/>
      <c r="C37" s="66"/>
      <c r="D37" s="61"/>
      <c r="E37" s="62"/>
      <c r="F37" s="62"/>
      <c r="G37" s="91">
        <f t="shared" si="0"/>
        <v>-0.89999999999999858</v>
      </c>
      <c r="H37" s="92" t="s">
        <v>32</v>
      </c>
      <c r="I37" s="92" t="s">
        <v>25</v>
      </c>
    </row>
    <row r="38" spans="1:9" ht="18" customHeight="1" x14ac:dyDescent="0.25">
      <c r="A38" s="58"/>
      <c r="B38" s="59"/>
      <c r="C38" s="66"/>
      <c r="D38" s="61"/>
      <c r="E38" s="62"/>
      <c r="F38" s="62"/>
      <c r="G38" s="91">
        <f t="shared" si="0"/>
        <v>-0.89999999999999858</v>
      </c>
      <c r="H38" s="92" t="s">
        <v>32</v>
      </c>
      <c r="I38" s="92" t="s">
        <v>25</v>
      </c>
    </row>
    <row r="39" spans="1:9" ht="18" customHeight="1" x14ac:dyDescent="0.25">
      <c r="A39" s="58"/>
      <c r="B39" s="59"/>
      <c r="C39" s="66"/>
      <c r="D39" s="61"/>
      <c r="E39" s="62"/>
      <c r="F39" s="62"/>
      <c r="G39" s="91">
        <f t="shared" si="0"/>
        <v>-0.89999999999999858</v>
      </c>
      <c r="H39" s="92" t="s">
        <v>32</v>
      </c>
      <c r="I39" s="92" t="s">
        <v>25</v>
      </c>
    </row>
    <row r="40" spans="1:9" ht="18" customHeight="1" x14ac:dyDescent="0.25">
      <c r="A40" s="58"/>
      <c r="B40" s="59"/>
      <c r="C40" s="66"/>
      <c r="D40" s="61"/>
      <c r="E40" s="62"/>
      <c r="F40" s="99"/>
      <c r="G40" s="155">
        <f t="shared" si="0"/>
        <v>-0.89999999999999858</v>
      </c>
      <c r="H40" s="92" t="s">
        <v>27</v>
      </c>
      <c r="I40" s="92" t="s">
        <v>25</v>
      </c>
    </row>
    <row r="41" spans="1:9" ht="18" customHeight="1" x14ac:dyDescent="0.25">
      <c r="A41" s="58"/>
      <c r="B41" s="59"/>
      <c r="C41" s="66"/>
      <c r="D41" s="61"/>
      <c r="E41" s="62"/>
      <c r="F41" s="99"/>
      <c r="G41" s="91">
        <f t="shared" si="0"/>
        <v>-0.89999999999999858</v>
      </c>
      <c r="H41" s="92" t="s">
        <v>27</v>
      </c>
      <c r="I41" s="92" t="s">
        <v>25</v>
      </c>
    </row>
    <row r="42" spans="1:9" ht="18" customHeight="1" x14ac:dyDescent="0.25">
      <c r="A42" s="58"/>
      <c r="B42" s="59"/>
      <c r="C42" s="66"/>
      <c r="D42" s="61"/>
      <c r="E42" s="62"/>
      <c r="F42" s="99"/>
      <c r="G42" s="91">
        <f t="shared" si="0"/>
        <v>-0.89999999999999858</v>
      </c>
      <c r="H42" s="92" t="s">
        <v>27</v>
      </c>
      <c r="I42" s="92" t="s">
        <v>25</v>
      </c>
    </row>
    <row r="43" spans="1:9" ht="18" customHeight="1" x14ac:dyDescent="0.25">
      <c r="A43" s="58"/>
      <c r="B43" s="59"/>
      <c r="C43" s="66"/>
      <c r="D43" s="61"/>
      <c r="E43" s="62"/>
      <c r="F43" s="99"/>
      <c r="G43" s="91">
        <f t="shared" si="0"/>
        <v>-0.89999999999999858</v>
      </c>
      <c r="H43" s="92" t="s">
        <v>27</v>
      </c>
      <c r="I43" s="92" t="s">
        <v>25</v>
      </c>
    </row>
    <row r="44" spans="1:9" ht="18" customHeight="1" x14ac:dyDescent="0.25">
      <c r="A44" s="58"/>
      <c r="B44" s="59"/>
      <c r="C44" s="66"/>
      <c r="D44" s="61"/>
      <c r="E44" s="62"/>
      <c r="F44" s="99"/>
      <c r="G44" s="91">
        <f t="shared" si="0"/>
        <v>-0.89999999999999858</v>
      </c>
      <c r="H44" s="92" t="s">
        <v>27</v>
      </c>
      <c r="I44" s="92" t="s">
        <v>25</v>
      </c>
    </row>
    <row r="45" spans="1:9" ht="18" customHeight="1" x14ac:dyDescent="0.25">
      <c r="A45" s="58"/>
      <c r="B45" s="59"/>
      <c r="C45" s="66"/>
      <c r="D45" s="61"/>
      <c r="E45" s="62"/>
      <c r="F45" s="99"/>
      <c r="G45" s="91">
        <f t="shared" si="0"/>
        <v>-0.89999999999999858</v>
      </c>
      <c r="H45" s="92" t="s">
        <v>27</v>
      </c>
      <c r="I45" s="92" t="s">
        <v>25</v>
      </c>
    </row>
    <row r="46" spans="1:9" ht="18" customHeight="1" x14ac:dyDescent="0.25">
      <c r="A46" s="58"/>
      <c r="B46" s="59"/>
      <c r="C46" s="66"/>
      <c r="D46" s="61"/>
      <c r="E46" s="62"/>
      <c r="F46" s="99"/>
      <c r="G46" s="91">
        <f t="shared" si="0"/>
        <v>-0.89999999999999858</v>
      </c>
      <c r="H46" s="92" t="s">
        <v>27</v>
      </c>
      <c r="I46" s="92" t="s">
        <v>25</v>
      </c>
    </row>
    <row r="47" spans="1:9" ht="18" customHeight="1" x14ac:dyDescent="0.25">
      <c r="A47" s="58"/>
      <c r="B47" s="59"/>
      <c r="C47" s="66"/>
      <c r="D47" s="61"/>
      <c r="E47" s="62"/>
      <c r="F47" s="99"/>
      <c r="G47" s="91">
        <f t="shared" si="0"/>
        <v>-0.89999999999999858</v>
      </c>
      <c r="H47" s="92" t="s">
        <v>27</v>
      </c>
      <c r="I47" s="92" t="s">
        <v>25</v>
      </c>
    </row>
    <row r="48" spans="1:9" ht="18" customHeight="1" x14ac:dyDescent="0.25">
      <c r="A48" s="58"/>
      <c r="B48" s="59"/>
      <c r="C48" s="66"/>
      <c r="D48" s="61"/>
      <c r="E48" s="62"/>
      <c r="F48" s="99"/>
      <c r="G48" s="91">
        <f t="shared" si="0"/>
        <v>-0.89999999999999858</v>
      </c>
      <c r="H48" s="92" t="s">
        <v>27</v>
      </c>
      <c r="I48" s="92" t="s">
        <v>25</v>
      </c>
    </row>
    <row r="49" spans="1:9" ht="18" customHeight="1" x14ac:dyDescent="0.25">
      <c r="A49" s="58"/>
      <c r="B49" s="59"/>
      <c r="C49" s="66"/>
      <c r="D49" s="61"/>
      <c r="E49" s="62"/>
      <c r="F49" s="99"/>
      <c r="G49" s="91">
        <f t="shared" si="0"/>
        <v>-0.89999999999999858</v>
      </c>
      <c r="H49" s="92" t="s">
        <v>27</v>
      </c>
      <c r="I49" s="92" t="s">
        <v>25</v>
      </c>
    </row>
    <row r="50" spans="1:9" ht="18" customHeight="1" x14ac:dyDescent="0.25">
      <c r="A50" s="58"/>
      <c r="B50" s="59"/>
      <c r="C50" s="66"/>
      <c r="D50" s="61"/>
      <c r="E50" s="62"/>
      <c r="F50" s="99"/>
      <c r="G50" s="91">
        <f t="shared" si="0"/>
        <v>-0.89999999999999858</v>
      </c>
      <c r="H50" s="92" t="s">
        <v>27</v>
      </c>
      <c r="I50" s="92" t="s">
        <v>25</v>
      </c>
    </row>
    <row r="51" spans="1:9" ht="18" customHeight="1" x14ac:dyDescent="0.25">
      <c r="A51" s="58"/>
      <c r="B51" s="59"/>
      <c r="C51" s="66"/>
      <c r="D51" s="61"/>
      <c r="E51" s="62"/>
      <c r="F51" s="99"/>
      <c r="G51" s="91">
        <f t="shared" si="0"/>
        <v>-0.89999999999999858</v>
      </c>
      <c r="H51" s="92" t="s">
        <v>27</v>
      </c>
      <c r="I51" s="92" t="s">
        <v>25</v>
      </c>
    </row>
    <row r="52" spans="1:9" ht="18" customHeight="1" x14ac:dyDescent="0.25">
      <c r="A52" s="58"/>
      <c r="B52" s="59"/>
      <c r="C52" s="66"/>
      <c r="D52" s="61"/>
      <c r="E52" s="62"/>
      <c r="F52" s="99"/>
      <c r="G52" s="91">
        <f t="shared" si="0"/>
        <v>-0.89999999999999858</v>
      </c>
      <c r="H52" s="92" t="s">
        <v>27</v>
      </c>
      <c r="I52" s="92" t="s">
        <v>25</v>
      </c>
    </row>
    <row r="53" spans="1:9" ht="18" customHeight="1" x14ac:dyDescent="0.25">
      <c r="A53" s="58"/>
      <c r="B53" s="59"/>
      <c r="C53" s="66"/>
      <c r="D53" s="61"/>
      <c r="E53" s="62"/>
      <c r="F53" s="99"/>
      <c r="G53" s="91">
        <f t="shared" si="0"/>
        <v>-0.89999999999999858</v>
      </c>
      <c r="H53" s="92" t="s">
        <v>27</v>
      </c>
      <c r="I53" s="92" t="s">
        <v>25</v>
      </c>
    </row>
    <row r="54" spans="1:9" ht="18" customHeight="1" x14ac:dyDescent="0.25">
      <c r="A54" s="58"/>
      <c r="B54" s="59"/>
      <c r="C54" s="66"/>
      <c r="D54" s="61"/>
      <c r="E54" s="62"/>
      <c r="F54" s="99"/>
      <c r="G54" s="91">
        <f t="shared" si="0"/>
        <v>-0.89999999999999858</v>
      </c>
      <c r="H54" s="92" t="s">
        <v>27</v>
      </c>
      <c r="I54" s="92" t="s">
        <v>25</v>
      </c>
    </row>
    <row r="55" spans="1:9" ht="18" customHeight="1" x14ac:dyDescent="0.25">
      <c r="A55" s="58"/>
      <c r="B55" s="59"/>
      <c r="C55" s="66"/>
      <c r="D55" s="61"/>
      <c r="E55" s="62"/>
      <c r="F55" s="99"/>
      <c r="G55" s="91">
        <f t="shared" si="0"/>
        <v>-0.89999999999999858</v>
      </c>
      <c r="H55" s="92" t="s">
        <v>27</v>
      </c>
      <c r="I55" s="92" t="s">
        <v>25</v>
      </c>
    </row>
    <row r="56" spans="1:9" ht="18" customHeight="1" x14ac:dyDescent="0.25">
      <c r="A56" s="58"/>
      <c r="B56" s="59"/>
      <c r="C56" s="66"/>
      <c r="D56" s="61"/>
      <c r="E56" s="62"/>
      <c r="F56" s="99"/>
      <c r="G56" s="91">
        <f t="shared" si="0"/>
        <v>-0.89999999999999858</v>
      </c>
      <c r="H56" s="92" t="s">
        <v>27</v>
      </c>
      <c r="I56" s="92" t="s">
        <v>25</v>
      </c>
    </row>
    <row r="57" spans="1:9" ht="18" customHeight="1" x14ac:dyDescent="0.25">
      <c r="A57" s="58"/>
      <c r="B57" s="59"/>
      <c r="C57" s="66"/>
      <c r="D57" s="61"/>
      <c r="E57" s="62"/>
      <c r="F57" s="99"/>
      <c r="G57" s="91">
        <f t="shared" si="0"/>
        <v>-0.89999999999999858</v>
      </c>
      <c r="H57" s="92" t="s">
        <v>27</v>
      </c>
      <c r="I57" s="92" t="s">
        <v>25</v>
      </c>
    </row>
    <row r="58" spans="1:9" ht="18" customHeight="1" x14ac:dyDescent="0.25">
      <c r="A58" s="58"/>
      <c r="B58" s="59"/>
      <c r="C58" s="66"/>
      <c r="D58" s="61"/>
      <c r="E58" s="62"/>
      <c r="F58" s="116"/>
      <c r="G58" s="91">
        <f t="shared" si="0"/>
        <v>-0.89999999999999858</v>
      </c>
      <c r="H58" s="92" t="s">
        <v>27</v>
      </c>
      <c r="I58" s="92" t="s">
        <v>25</v>
      </c>
    </row>
    <row r="59" spans="1:9" ht="18" customHeight="1" x14ac:dyDescent="0.25">
      <c r="A59" s="58"/>
      <c r="B59" s="59"/>
      <c r="C59" s="66"/>
      <c r="D59" s="61"/>
      <c r="E59" s="62"/>
      <c r="F59" s="116"/>
      <c r="G59" s="91">
        <f t="shared" si="0"/>
        <v>-0.89999999999999858</v>
      </c>
      <c r="H59" s="92" t="s">
        <v>27</v>
      </c>
      <c r="I59" s="92" t="s">
        <v>25</v>
      </c>
    </row>
    <row r="60" spans="1:9" ht="18" customHeight="1" x14ac:dyDescent="0.25">
      <c r="A60" s="58"/>
      <c r="B60" s="59"/>
      <c r="C60" s="66"/>
      <c r="D60" s="61"/>
      <c r="E60" s="62"/>
      <c r="F60" s="116"/>
      <c r="G60" s="91">
        <f t="shared" si="0"/>
        <v>-0.89999999999999858</v>
      </c>
      <c r="H60" s="92" t="s">
        <v>27</v>
      </c>
      <c r="I60" s="92" t="s">
        <v>25</v>
      </c>
    </row>
    <row r="61" spans="1:9" ht="18" customHeight="1" x14ac:dyDescent="0.25">
      <c r="A61" s="58"/>
      <c r="B61" s="59"/>
      <c r="C61" s="66"/>
      <c r="D61" s="61"/>
      <c r="E61" s="62"/>
      <c r="F61" s="116"/>
      <c r="G61" s="91">
        <f t="shared" si="0"/>
        <v>-0.89999999999999858</v>
      </c>
      <c r="H61" s="92" t="s">
        <v>27</v>
      </c>
      <c r="I61" s="92" t="s">
        <v>25</v>
      </c>
    </row>
    <row r="62" spans="1:9" ht="18" customHeight="1" x14ac:dyDescent="0.25">
      <c r="A62" s="58"/>
      <c r="B62" s="59"/>
      <c r="C62" s="66"/>
      <c r="D62" s="61"/>
      <c r="E62" s="62"/>
      <c r="F62" s="116"/>
      <c r="G62" s="91">
        <f t="shared" si="0"/>
        <v>-0.89999999999999858</v>
      </c>
      <c r="H62" s="92" t="s">
        <v>27</v>
      </c>
      <c r="I62" s="92" t="s">
        <v>25</v>
      </c>
    </row>
    <row r="63" spans="1:9" ht="18" customHeight="1" x14ac:dyDescent="0.25">
      <c r="A63" s="58"/>
      <c r="B63" s="59"/>
      <c r="C63" s="66"/>
      <c r="D63" s="61"/>
      <c r="E63" s="62"/>
      <c r="F63" s="116"/>
      <c r="G63" s="91">
        <f t="shared" si="0"/>
        <v>-0.89999999999999858</v>
      </c>
      <c r="H63" s="92" t="s">
        <v>27</v>
      </c>
      <c r="I63" s="92" t="s">
        <v>25</v>
      </c>
    </row>
    <row r="64" spans="1:9" ht="18" customHeight="1" x14ac:dyDescent="0.25">
      <c r="A64" s="58"/>
      <c r="B64" s="59"/>
      <c r="C64" s="66"/>
      <c r="D64" s="61"/>
      <c r="E64" s="62"/>
      <c r="F64" s="116"/>
      <c r="G64" s="91">
        <f t="shared" si="0"/>
        <v>-0.89999999999999858</v>
      </c>
      <c r="H64" s="92" t="s">
        <v>27</v>
      </c>
      <c r="I64" s="92" t="s">
        <v>25</v>
      </c>
    </row>
    <row r="65" spans="1:9" ht="18" customHeight="1" x14ac:dyDescent="0.25">
      <c r="A65" s="58"/>
      <c r="B65" s="59"/>
      <c r="C65" s="66"/>
      <c r="D65" s="61"/>
      <c r="E65" s="62"/>
      <c r="F65" s="116"/>
      <c r="G65" s="91">
        <f t="shared" si="0"/>
        <v>-0.89999999999999858</v>
      </c>
      <c r="H65" s="92" t="s">
        <v>27</v>
      </c>
      <c r="I65" s="92" t="s">
        <v>25</v>
      </c>
    </row>
    <row r="66" spans="1:9" ht="18" customHeight="1" x14ac:dyDescent="0.25">
      <c r="A66" s="58"/>
      <c r="B66" s="59"/>
      <c r="C66" s="66"/>
      <c r="D66" s="61"/>
      <c r="E66" s="62"/>
      <c r="F66" s="116"/>
      <c r="G66" s="91">
        <f t="shared" si="0"/>
        <v>-0.89999999999999858</v>
      </c>
      <c r="H66" s="92" t="s">
        <v>27</v>
      </c>
      <c r="I66" s="92" t="s">
        <v>25</v>
      </c>
    </row>
    <row r="67" spans="1:9" ht="18" customHeight="1" x14ac:dyDescent="0.25">
      <c r="A67" s="58"/>
      <c r="B67" s="59"/>
      <c r="C67" s="66"/>
      <c r="D67" s="61"/>
      <c r="E67" s="62"/>
      <c r="F67" s="116"/>
      <c r="G67" s="91">
        <f t="shared" si="0"/>
        <v>-0.89999999999999858</v>
      </c>
      <c r="H67" s="92" t="s">
        <v>27</v>
      </c>
      <c r="I67" s="92" t="s">
        <v>25</v>
      </c>
    </row>
    <row r="68" spans="1:9" ht="18" customHeight="1" x14ac:dyDescent="0.25">
      <c r="A68" s="58"/>
      <c r="B68" s="59"/>
      <c r="C68" s="66"/>
      <c r="D68" s="61"/>
      <c r="E68" s="62"/>
      <c r="F68" s="116"/>
      <c r="G68" s="91">
        <f t="shared" si="0"/>
        <v>-0.89999999999999858</v>
      </c>
      <c r="H68" s="92" t="s">
        <v>27</v>
      </c>
      <c r="I68" s="92" t="s">
        <v>25</v>
      </c>
    </row>
    <row r="69" spans="1:9" ht="18" customHeight="1" x14ac:dyDescent="0.25">
      <c r="A69" s="58"/>
      <c r="B69" s="59"/>
      <c r="C69" s="66"/>
      <c r="D69" s="61"/>
      <c r="E69" s="62"/>
      <c r="F69" s="116"/>
      <c r="G69" s="91">
        <f t="shared" si="0"/>
        <v>-0.89999999999999858</v>
      </c>
      <c r="H69" s="92" t="s">
        <v>27</v>
      </c>
      <c r="I69" s="92" t="s">
        <v>25</v>
      </c>
    </row>
    <row r="70" spans="1:9" ht="18" customHeight="1" x14ac:dyDescent="0.25">
      <c r="A70" s="58"/>
      <c r="B70" s="59"/>
      <c r="C70" s="66"/>
      <c r="D70" s="61"/>
      <c r="E70" s="62"/>
      <c r="F70" s="116"/>
      <c r="G70" s="91">
        <f t="shared" si="0"/>
        <v>-0.89999999999999858</v>
      </c>
      <c r="H70" s="92" t="s">
        <v>27</v>
      </c>
      <c r="I70" s="92" t="s">
        <v>25</v>
      </c>
    </row>
    <row r="71" spans="1:9" ht="18" customHeight="1" x14ac:dyDescent="0.25">
      <c r="A71" s="58"/>
      <c r="B71" s="59"/>
      <c r="C71" s="66"/>
      <c r="D71" s="61"/>
      <c r="E71" s="62"/>
      <c r="F71" s="116"/>
      <c r="G71" s="91">
        <f t="shared" si="0"/>
        <v>-0.89999999999999858</v>
      </c>
      <c r="H71" s="92" t="s">
        <v>27</v>
      </c>
      <c r="I71" s="92" t="s">
        <v>25</v>
      </c>
    </row>
    <row r="72" spans="1:9" ht="18" customHeight="1" x14ac:dyDescent="0.25">
      <c r="A72" s="58"/>
      <c r="B72" s="59"/>
      <c r="C72" s="66"/>
      <c r="D72" s="61"/>
      <c r="E72" s="62"/>
      <c r="F72" s="116"/>
      <c r="G72" s="91">
        <f t="shared" si="0"/>
        <v>-0.89999999999999858</v>
      </c>
      <c r="H72" s="92" t="s">
        <v>27</v>
      </c>
      <c r="I72" s="92" t="s">
        <v>25</v>
      </c>
    </row>
    <row r="73" spans="1:9" ht="18" customHeight="1" x14ac:dyDescent="0.25">
      <c r="A73" s="58"/>
      <c r="B73" s="59"/>
      <c r="C73" s="66"/>
      <c r="D73" s="61"/>
      <c r="E73" s="62"/>
      <c r="F73" s="116"/>
      <c r="G73" s="91">
        <f t="shared" si="0"/>
        <v>-0.89999999999999858</v>
      </c>
      <c r="H73" s="92" t="s">
        <v>27</v>
      </c>
      <c r="I73" s="92" t="s">
        <v>25</v>
      </c>
    </row>
    <row r="74" spans="1:9" ht="18" customHeight="1" x14ac:dyDescent="0.25">
      <c r="A74" s="58"/>
      <c r="B74" s="59"/>
      <c r="C74" s="66"/>
      <c r="D74" s="61"/>
      <c r="E74" s="62"/>
      <c r="F74" s="116"/>
      <c r="G74" s="91">
        <f t="shared" ref="G74:G137" si="1">+G73+E74-F74</f>
        <v>-0.89999999999999858</v>
      </c>
      <c r="H74" s="92" t="s">
        <v>27</v>
      </c>
      <c r="I74" s="92" t="s">
        <v>25</v>
      </c>
    </row>
    <row r="75" spans="1:9" ht="18" customHeight="1" x14ac:dyDescent="0.25">
      <c r="A75" s="58"/>
      <c r="B75" s="59"/>
      <c r="C75" s="66"/>
      <c r="D75" s="61"/>
      <c r="E75" s="62"/>
      <c r="F75" s="116"/>
      <c r="G75" s="91">
        <f t="shared" si="1"/>
        <v>-0.89999999999999858</v>
      </c>
      <c r="H75" s="92"/>
      <c r="I75" s="92"/>
    </row>
    <row r="76" spans="1:9" ht="18" customHeight="1" x14ac:dyDescent="0.25">
      <c r="A76" s="58"/>
      <c r="B76" s="59"/>
      <c r="C76" s="66"/>
      <c r="D76" s="61"/>
      <c r="E76" s="62"/>
      <c r="F76" s="116"/>
      <c r="G76" s="91">
        <f t="shared" si="1"/>
        <v>-0.89999999999999858</v>
      </c>
      <c r="H76" s="92"/>
      <c r="I76" s="92"/>
    </row>
    <row r="77" spans="1:9" ht="18" customHeight="1" x14ac:dyDescent="0.25">
      <c r="A77" s="58"/>
      <c r="B77" s="59"/>
      <c r="C77" s="66"/>
      <c r="D77" s="61"/>
      <c r="E77" s="62"/>
      <c r="F77" s="116"/>
      <c r="G77" s="91">
        <f t="shared" si="1"/>
        <v>-0.89999999999999858</v>
      </c>
      <c r="H77" s="92"/>
      <c r="I77" s="92"/>
    </row>
    <row r="78" spans="1:9" ht="18" customHeight="1" x14ac:dyDescent="0.25">
      <c r="A78" s="58"/>
      <c r="B78" s="59"/>
      <c r="C78" s="66"/>
      <c r="D78" s="61"/>
      <c r="E78" s="62"/>
      <c r="F78" s="116"/>
      <c r="G78" s="91">
        <f t="shared" si="1"/>
        <v>-0.89999999999999858</v>
      </c>
      <c r="H78" s="92"/>
      <c r="I78" s="92"/>
    </row>
    <row r="79" spans="1:9" ht="18" customHeight="1" x14ac:dyDescent="0.25">
      <c r="A79" s="58"/>
      <c r="B79" s="59"/>
      <c r="C79" s="66"/>
      <c r="D79" s="61"/>
      <c r="E79" s="62"/>
      <c r="F79" s="116"/>
      <c r="G79" s="91">
        <f t="shared" si="1"/>
        <v>-0.89999999999999858</v>
      </c>
      <c r="H79" s="92"/>
      <c r="I79" s="92"/>
    </row>
    <row r="80" spans="1:9" ht="18" customHeight="1" x14ac:dyDescent="0.25">
      <c r="A80" s="58"/>
      <c r="B80" s="59"/>
      <c r="C80" s="66"/>
      <c r="D80" s="61"/>
      <c r="E80" s="62"/>
      <c r="F80" s="116"/>
      <c r="G80" s="91">
        <f t="shared" si="1"/>
        <v>-0.89999999999999858</v>
      </c>
      <c r="H80" s="92"/>
      <c r="I80" s="92"/>
    </row>
    <row r="81" spans="1:9" ht="18" customHeight="1" x14ac:dyDescent="0.25">
      <c r="A81" s="58"/>
      <c r="B81" s="59"/>
      <c r="C81" s="66"/>
      <c r="D81" s="61"/>
      <c r="E81" s="62"/>
      <c r="F81" s="116"/>
      <c r="G81" s="91">
        <f t="shared" si="1"/>
        <v>-0.89999999999999858</v>
      </c>
      <c r="H81" s="92"/>
      <c r="I81" s="92"/>
    </row>
    <row r="82" spans="1:9" s="131" customFormat="1" ht="18" customHeight="1" x14ac:dyDescent="0.25">
      <c r="A82" s="125"/>
      <c r="B82" s="126"/>
      <c r="C82" s="66"/>
      <c r="D82" s="127"/>
      <c r="E82" s="128"/>
      <c r="F82" s="129"/>
      <c r="G82" s="91">
        <f t="shared" si="1"/>
        <v>-0.89999999999999858</v>
      </c>
      <c r="H82" s="92"/>
      <c r="I82" s="130"/>
    </row>
    <row r="83" spans="1:9" ht="18" customHeight="1" x14ac:dyDescent="0.25">
      <c r="A83" s="58"/>
      <c r="B83" s="59"/>
      <c r="C83" s="66"/>
      <c r="D83" s="61"/>
      <c r="E83" s="62"/>
      <c r="F83" s="116"/>
      <c r="G83" s="91">
        <f t="shared" si="1"/>
        <v>-0.89999999999999858</v>
      </c>
      <c r="H83" s="92"/>
      <c r="I83" s="130"/>
    </row>
    <row r="84" spans="1:9" ht="18" customHeight="1" x14ac:dyDescent="0.25">
      <c r="A84" s="58"/>
      <c r="B84" s="59"/>
      <c r="C84" s="66"/>
      <c r="D84" s="61"/>
      <c r="E84" s="62"/>
      <c r="F84" s="116"/>
      <c r="G84" s="91">
        <f t="shared" si="1"/>
        <v>-0.89999999999999858</v>
      </c>
      <c r="H84" s="92"/>
      <c r="I84" s="92"/>
    </row>
    <row r="85" spans="1:9" ht="18" customHeight="1" x14ac:dyDescent="0.25">
      <c r="A85" s="58"/>
      <c r="B85" s="59"/>
      <c r="C85" s="66"/>
      <c r="D85" s="61"/>
      <c r="E85" s="62"/>
      <c r="F85" s="116"/>
      <c r="G85" s="91">
        <f t="shared" si="1"/>
        <v>-0.89999999999999858</v>
      </c>
      <c r="H85" s="92"/>
      <c r="I85" s="92"/>
    </row>
    <row r="86" spans="1:9" ht="18" customHeight="1" x14ac:dyDescent="0.25">
      <c r="A86" s="58"/>
      <c r="B86" s="59"/>
      <c r="C86" s="66"/>
      <c r="D86" s="61"/>
      <c r="E86" s="62"/>
      <c r="F86" s="116"/>
      <c r="G86" s="91">
        <f t="shared" si="1"/>
        <v>-0.89999999999999858</v>
      </c>
      <c r="H86" s="92"/>
      <c r="I86" s="92"/>
    </row>
    <row r="87" spans="1:9" ht="18" customHeight="1" x14ac:dyDescent="0.25">
      <c r="A87" s="58"/>
      <c r="B87" s="59"/>
      <c r="C87" s="66"/>
      <c r="D87" s="61"/>
      <c r="E87" s="62"/>
      <c r="F87" s="116"/>
      <c r="G87" s="91">
        <f t="shared" si="1"/>
        <v>-0.89999999999999858</v>
      </c>
      <c r="H87" s="92"/>
      <c r="I87" s="92"/>
    </row>
    <row r="88" spans="1:9" ht="18" customHeight="1" x14ac:dyDescent="0.25">
      <c r="A88" s="58"/>
      <c r="B88" s="59"/>
      <c r="C88" s="66"/>
      <c r="D88" s="61"/>
      <c r="E88" s="62"/>
      <c r="F88" s="116"/>
      <c r="G88" s="91">
        <f t="shared" si="1"/>
        <v>-0.89999999999999858</v>
      </c>
      <c r="H88" s="92"/>
      <c r="I88" s="92"/>
    </row>
    <row r="89" spans="1:9" ht="18" customHeight="1" x14ac:dyDescent="0.25">
      <c r="A89" s="58"/>
      <c r="B89" s="59"/>
      <c r="C89" s="66"/>
      <c r="D89" s="61"/>
      <c r="E89" s="62"/>
      <c r="F89" s="116"/>
      <c r="G89" s="91">
        <f t="shared" si="1"/>
        <v>-0.89999999999999858</v>
      </c>
      <c r="H89" s="92"/>
      <c r="I89" s="92"/>
    </row>
    <row r="90" spans="1:9" ht="18" customHeight="1" x14ac:dyDescent="0.25">
      <c r="A90" s="58"/>
      <c r="B90" s="59"/>
      <c r="C90" s="66"/>
      <c r="D90" s="61"/>
      <c r="E90" s="62"/>
      <c r="F90" s="116"/>
      <c r="G90" s="91">
        <f t="shared" si="1"/>
        <v>-0.89999999999999858</v>
      </c>
      <c r="H90" s="92"/>
      <c r="I90" s="92"/>
    </row>
    <row r="91" spans="1:9" ht="18" customHeight="1" x14ac:dyDescent="0.25">
      <c r="A91" s="58"/>
      <c r="B91" s="59"/>
      <c r="C91" s="66"/>
      <c r="D91" s="61"/>
      <c r="E91" s="62"/>
      <c r="F91" s="116"/>
      <c r="G91" s="91">
        <f t="shared" si="1"/>
        <v>-0.89999999999999858</v>
      </c>
      <c r="H91" s="92"/>
      <c r="I91" s="92"/>
    </row>
    <row r="92" spans="1:9" ht="18" customHeight="1" x14ac:dyDescent="0.25">
      <c r="A92" s="58"/>
      <c r="B92" s="59"/>
      <c r="C92" s="66"/>
      <c r="D92" s="61"/>
      <c r="E92" s="62"/>
      <c r="F92" s="116"/>
      <c r="G92" s="91">
        <f t="shared" si="1"/>
        <v>-0.89999999999999858</v>
      </c>
      <c r="H92" s="92"/>
      <c r="I92" s="92"/>
    </row>
    <row r="93" spans="1:9" ht="18" customHeight="1" x14ac:dyDescent="0.25">
      <c r="A93" s="58"/>
      <c r="B93" s="59"/>
      <c r="C93" s="66"/>
      <c r="D93" s="61"/>
      <c r="E93" s="62"/>
      <c r="F93" s="116"/>
      <c r="G93" s="91">
        <f t="shared" si="1"/>
        <v>-0.89999999999999858</v>
      </c>
      <c r="H93" s="92"/>
      <c r="I93" s="92"/>
    </row>
    <row r="94" spans="1:9" ht="18" customHeight="1" x14ac:dyDescent="0.25">
      <c r="A94" s="58"/>
      <c r="B94" s="59"/>
      <c r="C94" s="66"/>
      <c r="D94" s="61"/>
      <c r="E94" s="62"/>
      <c r="F94" s="116"/>
      <c r="G94" s="91">
        <f t="shared" si="1"/>
        <v>-0.89999999999999858</v>
      </c>
      <c r="H94" s="92"/>
      <c r="I94" s="92"/>
    </row>
    <row r="95" spans="1:9" ht="18" customHeight="1" x14ac:dyDescent="0.25">
      <c r="A95" s="58"/>
      <c r="B95" s="59"/>
      <c r="C95" s="66"/>
      <c r="D95" s="61"/>
      <c r="E95" s="62"/>
      <c r="F95" s="116"/>
      <c r="G95" s="91">
        <f t="shared" si="1"/>
        <v>-0.89999999999999858</v>
      </c>
      <c r="H95" s="92"/>
      <c r="I95" s="92"/>
    </row>
    <row r="96" spans="1:9" ht="18" customHeight="1" x14ac:dyDescent="0.25">
      <c r="A96" s="58"/>
      <c r="B96" s="59"/>
      <c r="C96" s="66"/>
      <c r="D96" s="61"/>
      <c r="E96" s="62"/>
      <c r="F96" s="116"/>
      <c r="G96" s="91">
        <f t="shared" si="1"/>
        <v>-0.89999999999999858</v>
      </c>
      <c r="H96" s="92"/>
      <c r="I96" s="92"/>
    </row>
    <row r="97" spans="1:9" ht="18" customHeight="1" x14ac:dyDescent="0.25">
      <c r="A97" s="58"/>
      <c r="B97" s="59"/>
      <c r="C97" s="66"/>
      <c r="D97" s="61"/>
      <c r="E97" s="62"/>
      <c r="F97" s="116"/>
      <c r="G97" s="91">
        <f t="shared" si="1"/>
        <v>-0.89999999999999858</v>
      </c>
      <c r="H97" s="92"/>
      <c r="I97" s="92"/>
    </row>
    <row r="98" spans="1:9" ht="18" customHeight="1" x14ac:dyDescent="0.25">
      <c r="A98" s="58"/>
      <c r="B98" s="59"/>
      <c r="C98" s="66"/>
      <c r="D98" s="61"/>
      <c r="E98" s="62"/>
      <c r="F98" s="116"/>
      <c r="G98" s="91">
        <f t="shared" si="1"/>
        <v>-0.89999999999999858</v>
      </c>
      <c r="H98" s="92"/>
      <c r="I98" s="92"/>
    </row>
    <row r="99" spans="1:9" ht="18" customHeight="1" x14ac:dyDescent="0.25">
      <c r="A99" s="58"/>
      <c r="B99" s="59"/>
      <c r="C99" s="66"/>
      <c r="D99" s="61"/>
      <c r="E99" s="62"/>
      <c r="F99" s="116"/>
      <c r="G99" s="91">
        <f t="shared" si="1"/>
        <v>-0.89999999999999858</v>
      </c>
      <c r="H99" s="92"/>
      <c r="I99" s="95"/>
    </row>
    <row r="100" spans="1:9" ht="18" customHeight="1" x14ac:dyDescent="0.25">
      <c r="A100" s="58"/>
      <c r="B100" s="59"/>
      <c r="C100" s="66"/>
      <c r="D100" s="61"/>
      <c r="E100" s="62"/>
      <c r="F100" s="116"/>
      <c r="G100" s="91">
        <f t="shared" si="1"/>
        <v>-0.89999999999999858</v>
      </c>
      <c r="H100" s="92"/>
      <c r="I100" s="95"/>
    </row>
    <row r="101" spans="1:9" ht="18" customHeight="1" x14ac:dyDescent="0.25">
      <c r="A101" s="58"/>
      <c r="B101" s="59"/>
      <c r="C101" s="66"/>
      <c r="D101" s="61"/>
      <c r="E101" s="62"/>
      <c r="F101" s="116"/>
      <c r="G101" s="91">
        <f t="shared" si="1"/>
        <v>-0.89999999999999858</v>
      </c>
      <c r="H101" s="92"/>
      <c r="I101" s="95"/>
    </row>
    <row r="102" spans="1:9" ht="18" customHeight="1" x14ac:dyDescent="0.25">
      <c r="A102" s="58"/>
      <c r="B102" s="59"/>
      <c r="C102" s="66"/>
      <c r="D102" s="61"/>
      <c r="E102" s="62"/>
      <c r="F102" s="116"/>
      <c r="G102" s="91">
        <f t="shared" si="1"/>
        <v>-0.89999999999999858</v>
      </c>
      <c r="H102" s="92"/>
      <c r="I102" s="95"/>
    </row>
    <row r="103" spans="1:9" ht="18" customHeight="1" x14ac:dyDescent="0.25">
      <c r="A103" s="58"/>
      <c r="B103" s="59"/>
      <c r="C103" s="66"/>
      <c r="D103" s="61"/>
      <c r="E103" s="62"/>
      <c r="F103" s="116"/>
      <c r="G103" s="91">
        <f t="shared" si="1"/>
        <v>-0.89999999999999858</v>
      </c>
      <c r="H103" s="92"/>
      <c r="I103" s="95"/>
    </row>
    <row r="104" spans="1:9" ht="18" customHeight="1" x14ac:dyDescent="0.25">
      <c r="A104" s="58"/>
      <c r="B104" s="59"/>
      <c r="C104" s="66"/>
      <c r="D104" s="61"/>
      <c r="E104" s="62"/>
      <c r="F104" s="116"/>
      <c r="G104" s="91">
        <f t="shared" si="1"/>
        <v>-0.89999999999999858</v>
      </c>
      <c r="H104" s="92"/>
      <c r="I104" s="95"/>
    </row>
    <row r="105" spans="1:9" ht="18" customHeight="1" x14ac:dyDescent="0.25">
      <c r="A105" s="58"/>
      <c r="B105" s="59"/>
      <c r="C105" s="66"/>
      <c r="D105" s="61"/>
      <c r="E105" s="62"/>
      <c r="F105" s="116"/>
      <c r="G105" s="91">
        <f t="shared" si="1"/>
        <v>-0.89999999999999858</v>
      </c>
      <c r="H105" s="92"/>
      <c r="I105" s="95"/>
    </row>
    <row r="106" spans="1:9" ht="18" customHeight="1" x14ac:dyDescent="0.25">
      <c r="A106" s="58"/>
      <c r="B106" s="59"/>
      <c r="C106" s="66"/>
      <c r="D106" s="61"/>
      <c r="E106" s="62"/>
      <c r="F106" s="116"/>
      <c r="G106" s="91">
        <f t="shared" si="1"/>
        <v>-0.89999999999999858</v>
      </c>
      <c r="H106" s="92"/>
      <c r="I106" s="95"/>
    </row>
    <row r="107" spans="1:9" ht="18" customHeight="1" x14ac:dyDescent="0.25">
      <c r="A107" s="58"/>
      <c r="B107" s="59"/>
      <c r="C107" s="66"/>
      <c r="D107" s="61"/>
      <c r="E107" s="62"/>
      <c r="F107" s="116"/>
      <c r="G107" s="91">
        <f t="shared" si="1"/>
        <v>-0.89999999999999858</v>
      </c>
      <c r="H107" s="92"/>
      <c r="I107" s="95"/>
    </row>
    <row r="108" spans="1:9" ht="18" customHeight="1" x14ac:dyDescent="0.25">
      <c r="A108" s="58"/>
      <c r="B108" s="59"/>
      <c r="C108" s="66"/>
      <c r="D108" s="61"/>
      <c r="E108" s="62"/>
      <c r="F108" s="116"/>
      <c r="G108" s="91">
        <f t="shared" si="1"/>
        <v>-0.89999999999999858</v>
      </c>
      <c r="H108" s="92"/>
      <c r="I108" s="95"/>
    </row>
    <row r="109" spans="1:9" ht="18" customHeight="1" x14ac:dyDescent="0.25">
      <c r="A109" s="58"/>
      <c r="B109" s="59"/>
      <c r="C109" s="66"/>
      <c r="D109" s="61"/>
      <c r="E109" s="62"/>
      <c r="F109" s="116"/>
      <c r="G109" s="91">
        <f t="shared" si="1"/>
        <v>-0.89999999999999858</v>
      </c>
      <c r="H109" s="92"/>
      <c r="I109" s="95"/>
    </row>
    <row r="110" spans="1:9" ht="18" customHeight="1" x14ac:dyDescent="0.25">
      <c r="A110" s="58"/>
      <c r="B110" s="59"/>
      <c r="C110" s="66"/>
      <c r="D110" s="61"/>
      <c r="E110" s="62"/>
      <c r="F110" s="116"/>
      <c r="G110" s="91">
        <f t="shared" si="1"/>
        <v>-0.89999999999999858</v>
      </c>
      <c r="H110" s="92"/>
      <c r="I110" s="95"/>
    </row>
    <row r="111" spans="1:9" ht="18" customHeight="1" x14ac:dyDescent="0.25">
      <c r="A111" s="58"/>
      <c r="B111" s="59"/>
      <c r="C111" s="66"/>
      <c r="D111" s="61"/>
      <c r="E111" s="62"/>
      <c r="F111" s="116"/>
      <c r="G111" s="91">
        <f t="shared" si="1"/>
        <v>-0.89999999999999858</v>
      </c>
      <c r="H111" s="92"/>
      <c r="I111" s="95"/>
    </row>
    <row r="112" spans="1:9" ht="18" customHeight="1" x14ac:dyDescent="0.25">
      <c r="A112" s="58"/>
      <c r="B112" s="59"/>
      <c r="C112" s="66"/>
      <c r="D112" s="61"/>
      <c r="E112" s="62"/>
      <c r="F112" s="116"/>
      <c r="G112" s="91">
        <f t="shared" si="1"/>
        <v>-0.89999999999999858</v>
      </c>
      <c r="H112" s="92"/>
      <c r="I112" s="95"/>
    </row>
    <row r="113" spans="1:9" ht="18" customHeight="1" x14ac:dyDescent="0.25">
      <c r="A113" s="58"/>
      <c r="B113" s="59"/>
      <c r="C113" s="66"/>
      <c r="D113" s="61"/>
      <c r="E113" s="62"/>
      <c r="F113" s="116"/>
      <c r="G113" s="91">
        <f t="shared" si="1"/>
        <v>-0.89999999999999858</v>
      </c>
      <c r="H113" s="92"/>
      <c r="I113" s="95"/>
    </row>
    <row r="114" spans="1:9" ht="18" customHeight="1" x14ac:dyDescent="0.25">
      <c r="A114" s="58"/>
      <c r="B114" s="59"/>
      <c r="C114" s="66"/>
      <c r="D114" s="61"/>
      <c r="E114" s="62"/>
      <c r="F114" s="116"/>
      <c r="G114" s="91">
        <f t="shared" si="1"/>
        <v>-0.89999999999999858</v>
      </c>
      <c r="H114" s="92"/>
      <c r="I114" s="95"/>
    </row>
    <row r="115" spans="1:9" ht="18" customHeight="1" x14ac:dyDescent="0.25">
      <c r="A115" s="58"/>
      <c r="B115" s="59"/>
      <c r="C115" s="66"/>
      <c r="D115" s="61"/>
      <c r="E115" s="62"/>
      <c r="F115" s="116"/>
      <c r="G115" s="91">
        <f t="shared" si="1"/>
        <v>-0.89999999999999858</v>
      </c>
      <c r="H115" s="92"/>
      <c r="I115" s="95"/>
    </row>
    <row r="116" spans="1:9" ht="18" customHeight="1" x14ac:dyDescent="0.25">
      <c r="A116" s="58"/>
      <c r="B116" s="59"/>
      <c r="C116" s="66"/>
      <c r="D116" s="61"/>
      <c r="E116" s="62"/>
      <c r="F116" s="116"/>
      <c r="G116" s="91">
        <f t="shared" si="1"/>
        <v>-0.89999999999999858</v>
      </c>
      <c r="H116" s="92"/>
      <c r="I116" s="95"/>
    </row>
    <row r="117" spans="1:9" ht="18" customHeight="1" x14ac:dyDescent="0.25">
      <c r="A117" s="58"/>
      <c r="B117" s="59"/>
      <c r="C117" s="66"/>
      <c r="D117" s="61"/>
      <c r="E117" s="62"/>
      <c r="F117" s="116"/>
      <c r="G117" s="91">
        <f t="shared" si="1"/>
        <v>-0.89999999999999858</v>
      </c>
      <c r="H117" s="92"/>
      <c r="I117" s="95"/>
    </row>
    <row r="118" spans="1:9" ht="18" customHeight="1" x14ac:dyDescent="0.25">
      <c r="A118" s="58"/>
      <c r="B118" s="59"/>
      <c r="C118" s="66"/>
      <c r="D118" s="61"/>
      <c r="E118" s="62"/>
      <c r="F118" s="116"/>
      <c r="G118" s="91">
        <f t="shared" si="1"/>
        <v>-0.89999999999999858</v>
      </c>
      <c r="H118" s="92"/>
      <c r="I118" s="95"/>
    </row>
    <row r="119" spans="1:9" ht="18" customHeight="1" x14ac:dyDescent="0.25">
      <c r="A119" s="58"/>
      <c r="B119" s="59"/>
      <c r="C119" s="66"/>
      <c r="D119" s="61"/>
      <c r="E119" s="62"/>
      <c r="F119" s="116"/>
      <c r="G119" s="91">
        <f t="shared" si="1"/>
        <v>-0.89999999999999858</v>
      </c>
      <c r="H119" s="92"/>
      <c r="I119" s="95"/>
    </row>
    <row r="120" spans="1:9" ht="18" customHeight="1" x14ac:dyDescent="0.25">
      <c r="A120" s="58"/>
      <c r="B120" s="59"/>
      <c r="C120" s="66"/>
      <c r="D120" s="61"/>
      <c r="E120" s="62"/>
      <c r="F120" s="116"/>
      <c r="G120" s="91">
        <f t="shared" si="1"/>
        <v>-0.89999999999999858</v>
      </c>
      <c r="H120" s="92"/>
      <c r="I120" s="95"/>
    </row>
    <row r="121" spans="1:9" ht="18" customHeight="1" x14ac:dyDescent="0.25">
      <c r="A121" s="58"/>
      <c r="B121" s="59"/>
      <c r="C121" s="66"/>
      <c r="D121" s="61"/>
      <c r="E121" s="62"/>
      <c r="F121" s="116"/>
      <c r="G121" s="91">
        <f t="shared" si="1"/>
        <v>-0.89999999999999858</v>
      </c>
      <c r="H121" s="92"/>
      <c r="I121" s="95"/>
    </row>
    <row r="122" spans="1:9" ht="18" customHeight="1" x14ac:dyDescent="0.25">
      <c r="A122" s="58"/>
      <c r="B122" s="59"/>
      <c r="C122" s="66"/>
      <c r="D122" s="61"/>
      <c r="E122" s="62"/>
      <c r="F122" s="116"/>
      <c r="G122" s="91">
        <f t="shared" si="1"/>
        <v>-0.89999999999999858</v>
      </c>
      <c r="H122" s="92"/>
      <c r="I122" s="95"/>
    </row>
    <row r="123" spans="1:9" ht="18" customHeight="1" x14ac:dyDescent="0.25">
      <c r="A123" s="58"/>
      <c r="B123" s="59"/>
      <c r="C123" s="66"/>
      <c r="D123" s="61"/>
      <c r="E123" s="62"/>
      <c r="F123" s="116"/>
      <c r="G123" s="91">
        <f t="shared" si="1"/>
        <v>-0.89999999999999858</v>
      </c>
      <c r="H123" s="92"/>
      <c r="I123" s="95"/>
    </row>
    <row r="124" spans="1:9" ht="18" customHeight="1" x14ac:dyDescent="0.25">
      <c r="A124" s="58"/>
      <c r="B124" s="59"/>
      <c r="C124" s="66"/>
      <c r="D124" s="61"/>
      <c r="E124" s="62"/>
      <c r="F124" s="116"/>
      <c r="G124" s="91">
        <f t="shared" si="1"/>
        <v>-0.89999999999999858</v>
      </c>
      <c r="H124" s="92"/>
      <c r="I124" s="95"/>
    </row>
    <row r="125" spans="1:9" ht="18" customHeight="1" x14ac:dyDescent="0.25">
      <c r="A125" s="58"/>
      <c r="B125" s="59"/>
      <c r="C125" s="66"/>
      <c r="D125" s="61"/>
      <c r="E125" s="62"/>
      <c r="F125" s="116"/>
      <c r="G125" s="91">
        <f t="shared" si="1"/>
        <v>-0.89999999999999858</v>
      </c>
      <c r="H125" s="92"/>
      <c r="I125" s="95"/>
    </row>
    <row r="126" spans="1:9" ht="18" customHeight="1" x14ac:dyDescent="0.25">
      <c r="A126" s="58"/>
      <c r="B126" s="59"/>
      <c r="C126" s="66"/>
      <c r="D126" s="61"/>
      <c r="E126" s="62"/>
      <c r="F126" s="116"/>
      <c r="G126" s="91">
        <f t="shared" si="1"/>
        <v>-0.89999999999999858</v>
      </c>
      <c r="H126" s="92"/>
      <c r="I126" s="95"/>
    </row>
    <row r="127" spans="1:9" ht="18" customHeight="1" x14ac:dyDescent="0.25">
      <c r="A127" s="58"/>
      <c r="B127" s="59"/>
      <c r="C127" s="66"/>
      <c r="D127" s="61"/>
      <c r="E127" s="62"/>
      <c r="F127" s="116"/>
      <c r="G127" s="91">
        <f t="shared" si="1"/>
        <v>-0.89999999999999858</v>
      </c>
      <c r="H127" s="92"/>
      <c r="I127" s="95"/>
    </row>
    <row r="128" spans="1:9" ht="18" customHeight="1" x14ac:dyDescent="0.25">
      <c r="A128" s="58"/>
      <c r="B128" s="59"/>
      <c r="C128" s="66"/>
      <c r="D128" s="61"/>
      <c r="E128" s="62"/>
      <c r="F128" s="116"/>
      <c r="G128" s="91">
        <f t="shared" si="1"/>
        <v>-0.89999999999999858</v>
      </c>
      <c r="H128" s="92"/>
      <c r="I128" s="95"/>
    </row>
    <row r="129" spans="1:9" ht="18" customHeight="1" x14ac:dyDescent="0.25">
      <c r="A129" s="58"/>
      <c r="B129" s="59"/>
      <c r="C129" s="66"/>
      <c r="D129" s="61"/>
      <c r="E129" s="62"/>
      <c r="F129" s="116"/>
      <c r="G129" s="91">
        <f t="shared" si="1"/>
        <v>-0.89999999999999858</v>
      </c>
      <c r="H129" s="92"/>
      <c r="I129" s="95"/>
    </row>
    <row r="130" spans="1:9" ht="18" customHeight="1" x14ac:dyDescent="0.25">
      <c r="A130" s="58"/>
      <c r="B130" s="59"/>
      <c r="C130" s="66"/>
      <c r="D130" s="61"/>
      <c r="E130" s="62"/>
      <c r="F130" s="116"/>
      <c r="G130" s="91">
        <f t="shared" si="1"/>
        <v>-0.89999999999999858</v>
      </c>
      <c r="H130" s="92"/>
      <c r="I130" s="95"/>
    </row>
    <row r="131" spans="1:9" ht="18" customHeight="1" x14ac:dyDescent="0.25">
      <c r="A131" s="58"/>
      <c r="B131" s="59"/>
      <c r="C131" s="66"/>
      <c r="D131" s="61"/>
      <c r="E131" s="62"/>
      <c r="F131" s="116"/>
      <c r="G131" s="91">
        <f t="shared" si="1"/>
        <v>-0.89999999999999858</v>
      </c>
      <c r="H131" s="92"/>
      <c r="I131" s="95"/>
    </row>
    <row r="132" spans="1:9" ht="18" customHeight="1" x14ac:dyDescent="0.25">
      <c r="A132" s="58"/>
      <c r="B132" s="59"/>
      <c r="C132" s="66"/>
      <c r="D132" s="61"/>
      <c r="E132" s="62"/>
      <c r="F132" s="116"/>
      <c r="G132" s="91">
        <f t="shared" si="1"/>
        <v>-0.89999999999999858</v>
      </c>
      <c r="H132" s="92"/>
      <c r="I132" s="95"/>
    </row>
    <row r="133" spans="1:9" ht="18" customHeight="1" x14ac:dyDescent="0.25">
      <c r="A133" s="58"/>
      <c r="B133" s="59"/>
      <c r="C133" s="66"/>
      <c r="D133" s="61"/>
      <c r="E133" s="62"/>
      <c r="F133" s="116"/>
      <c r="G133" s="91">
        <f t="shared" si="1"/>
        <v>-0.89999999999999858</v>
      </c>
      <c r="H133" s="92"/>
      <c r="I133" s="95"/>
    </row>
    <row r="134" spans="1:9" ht="18" customHeight="1" x14ac:dyDescent="0.25">
      <c r="A134" s="58"/>
      <c r="B134" s="59"/>
      <c r="C134" s="66"/>
      <c r="D134" s="61"/>
      <c r="E134" s="62"/>
      <c r="F134" s="116"/>
      <c r="G134" s="91">
        <f t="shared" si="1"/>
        <v>-0.89999999999999858</v>
      </c>
      <c r="H134" s="92"/>
      <c r="I134" s="95"/>
    </row>
    <row r="135" spans="1:9" ht="18" customHeight="1" x14ac:dyDescent="0.25">
      <c r="A135" s="58"/>
      <c r="B135" s="59"/>
      <c r="C135" s="66"/>
      <c r="D135" s="61"/>
      <c r="E135" s="62"/>
      <c r="F135" s="116"/>
      <c r="G135" s="91">
        <f t="shared" si="1"/>
        <v>-0.89999999999999858</v>
      </c>
      <c r="H135" s="92"/>
      <c r="I135" s="95"/>
    </row>
    <row r="136" spans="1:9" ht="18" customHeight="1" x14ac:dyDescent="0.25">
      <c r="A136" s="58"/>
      <c r="B136" s="59"/>
      <c r="C136" s="66"/>
      <c r="D136" s="65"/>
      <c r="E136" s="62"/>
      <c r="F136" s="116"/>
      <c r="G136" s="91">
        <f t="shared" si="1"/>
        <v>-0.89999999999999858</v>
      </c>
      <c r="H136" s="92"/>
      <c r="I136" s="95"/>
    </row>
    <row r="137" spans="1:9" ht="18" customHeight="1" x14ac:dyDescent="0.25">
      <c r="A137" s="58"/>
      <c r="B137" s="59"/>
      <c r="C137" s="66"/>
      <c r="D137" s="65"/>
      <c r="E137" s="62"/>
      <c r="F137" s="116"/>
      <c r="G137" s="91">
        <f t="shared" si="1"/>
        <v>-0.89999999999999858</v>
      </c>
      <c r="H137" s="92"/>
      <c r="I137" s="95"/>
    </row>
    <row r="138" spans="1:9" ht="18" customHeight="1" x14ac:dyDescent="0.25">
      <c r="A138" s="58"/>
      <c r="B138" s="59"/>
      <c r="C138" s="66"/>
      <c r="D138" s="65"/>
      <c r="E138" s="62"/>
      <c r="F138" s="116"/>
      <c r="G138" s="91">
        <f t="shared" ref="G138:G152" si="2">+G137+E138-F138</f>
        <v>-0.89999999999999858</v>
      </c>
      <c r="H138" s="92"/>
      <c r="I138" s="95"/>
    </row>
    <row r="139" spans="1:9" ht="18" customHeight="1" x14ac:dyDescent="0.25">
      <c r="A139" s="58"/>
      <c r="B139" s="59"/>
      <c r="C139" s="66"/>
      <c r="D139" s="65"/>
      <c r="E139" s="62"/>
      <c r="F139" s="116"/>
      <c r="G139" s="91">
        <f t="shared" si="2"/>
        <v>-0.89999999999999858</v>
      </c>
      <c r="H139" s="92"/>
      <c r="I139" s="95"/>
    </row>
    <row r="140" spans="1:9" ht="18" customHeight="1" x14ac:dyDescent="0.25">
      <c r="A140" s="58"/>
      <c r="B140" s="59"/>
      <c r="C140" s="66"/>
      <c r="D140" s="65"/>
      <c r="E140" s="62"/>
      <c r="F140" s="116"/>
      <c r="G140" s="91">
        <f t="shared" si="2"/>
        <v>-0.89999999999999858</v>
      </c>
      <c r="H140" s="92"/>
      <c r="I140" s="95"/>
    </row>
    <row r="141" spans="1:9" ht="18" customHeight="1" x14ac:dyDescent="0.25">
      <c r="A141" s="58"/>
      <c r="B141" s="59"/>
      <c r="C141" s="66"/>
      <c r="D141" s="65"/>
      <c r="E141" s="62"/>
      <c r="F141" s="116"/>
      <c r="G141" s="91">
        <f t="shared" si="2"/>
        <v>-0.89999999999999858</v>
      </c>
      <c r="H141" s="92"/>
      <c r="I141" s="95"/>
    </row>
    <row r="142" spans="1:9" ht="18" customHeight="1" x14ac:dyDescent="0.25">
      <c r="A142" s="58"/>
      <c r="B142" s="59"/>
      <c r="C142" s="66"/>
      <c r="D142" s="65"/>
      <c r="E142" s="62"/>
      <c r="F142" s="116"/>
      <c r="G142" s="91">
        <f t="shared" si="2"/>
        <v>-0.89999999999999858</v>
      </c>
      <c r="H142" s="92"/>
      <c r="I142" s="95"/>
    </row>
    <row r="143" spans="1:9" ht="18" customHeight="1" x14ac:dyDescent="0.25">
      <c r="A143" s="58"/>
      <c r="B143" s="59"/>
      <c r="C143" s="66"/>
      <c r="D143" s="65"/>
      <c r="E143" s="62"/>
      <c r="F143" s="116"/>
      <c r="G143" s="91">
        <f t="shared" si="2"/>
        <v>-0.89999999999999858</v>
      </c>
      <c r="H143" s="92"/>
      <c r="I143" s="95"/>
    </row>
    <row r="144" spans="1:9" ht="18" customHeight="1" x14ac:dyDescent="0.25">
      <c r="A144" s="58"/>
      <c r="B144" s="59"/>
      <c r="C144" s="66"/>
      <c r="D144" s="65"/>
      <c r="E144" s="62"/>
      <c r="F144" s="116"/>
      <c r="G144" s="91">
        <f t="shared" si="2"/>
        <v>-0.89999999999999858</v>
      </c>
      <c r="H144" s="92"/>
      <c r="I144" s="95"/>
    </row>
    <row r="145" spans="1:9" ht="18" customHeight="1" x14ac:dyDescent="0.25">
      <c r="A145" s="58"/>
      <c r="B145" s="59"/>
      <c r="C145" s="66"/>
      <c r="D145" s="65"/>
      <c r="E145" s="62"/>
      <c r="F145" s="116"/>
      <c r="G145" s="91">
        <f t="shared" si="2"/>
        <v>-0.89999999999999858</v>
      </c>
      <c r="H145" s="92"/>
      <c r="I145" s="95"/>
    </row>
    <row r="146" spans="1:9" ht="18" customHeight="1" x14ac:dyDescent="0.25">
      <c r="A146" s="58"/>
      <c r="B146" s="59"/>
      <c r="C146" s="66"/>
      <c r="D146" s="65"/>
      <c r="E146" s="62"/>
      <c r="F146" s="116"/>
      <c r="G146" s="91">
        <f t="shared" si="2"/>
        <v>-0.89999999999999858</v>
      </c>
      <c r="H146" s="92"/>
      <c r="I146" s="95"/>
    </row>
    <row r="147" spans="1:9" ht="18" customHeight="1" x14ac:dyDescent="0.25">
      <c r="A147" s="58"/>
      <c r="B147" s="59"/>
      <c r="C147" s="66"/>
      <c r="D147" s="65"/>
      <c r="E147" s="62"/>
      <c r="F147" s="116"/>
      <c r="G147" s="91">
        <f t="shared" si="2"/>
        <v>-0.89999999999999858</v>
      </c>
      <c r="H147" s="92"/>
      <c r="I147" s="95"/>
    </row>
    <row r="148" spans="1:9" ht="18" customHeight="1" x14ac:dyDescent="0.25">
      <c r="A148" s="58"/>
      <c r="B148" s="59"/>
      <c r="C148" s="66"/>
      <c r="D148" s="65"/>
      <c r="E148" s="62"/>
      <c r="F148" s="116"/>
      <c r="G148" s="91">
        <f t="shared" si="2"/>
        <v>-0.89999999999999858</v>
      </c>
      <c r="H148" s="92"/>
      <c r="I148" s="95"/>
    </row>
    <row r="149" spans="1:9" ht="18" customHeight="1" x14ac:dyDescent="0.25">
      <c r="A149" s="58"/>
      <c r="B149" s="59"/>
      <c r="C149" s="66"/>
      <c r="D149" s="65"/>
      <c r="E149" s="62"/>
      <c r="F149" s="116"/>
      <c r="G149" s="91">
        <f t="shared" si="2"/>
        <v>-0.89999999999999858</v>
      </c>
      <c r="H149" s="92"/>
      <c r="I149" s="95"/>
    </row>
    <row r="150" spans="1:9" ht="18" customHeight="1" x14ac:dyDescent="0.25">
      <c r="A150" s="58"/>
      <c r="B150" s="59"/>
      <c r="C150" s="66"/>
      <c r="D150" s="65"/>
      <c r="E150" s="62"/>
      <c r="F150" s="116"/>
      <c r="G150" s="91">
        <f t="shared" si="2"/>
        <v>-0.89999999999999858</v>
      </c>
      <c r="H150" s="100"/>
      <c r="I150" s="95"/>
    </row>
    <row r="151" spans="1:9" x14ac:dyDescent="0.25">
      <c r="A151" s="65"/>
      <c r="B151" s="59"/>
      <c r="C151" s="101"/>
      <c r="D151" s="65" t="s">
        <v>17</v>
      </c>
      <c r="E151" s="123"/>
      <c r="F151" s="117"/>
      <c r="G151" s="91">
        <f t="shared" si="2"/>
        <v>-0.89999999999999858</v>
      </c>
      <c r="H151" s="102"/>
      <c r="I151" s="82"/>
    </row>
    <row r="152" spans="1:9" x14ac:dyDescent="0.25">
      <c r="A152" s="65"/>
      <c r="B152" s="73"/>
      <c r="C152" s="58"/>
      <c r="D152" s="65" t="s">
        <v>17</v>
      </c>
      <c r="E152" s="124"/>
      <c r="F152" s="118"/>
      <c r="G152" s="91">
        <f t="shared" si="2"/>
        <v>-0.89999999999999858</v>
      </c>
      <c r="H152" s="103"/>
      <c r="I152" s="82"/>
    </row>
    <row r="153" spans="1:9" x14ac:dyDescent="0.25">
      <c r="A153" s="58"/>
      <c r="B153" s="58"/>
      <c r="C153" s="77" t="s">
        <v>13</v>
      </c>
      <c r="D153" s="65"/>
      <c r="E153" s="119">
        <f>SUM(E9:E152)</f>
        <v>41.6</v>
      </c>
      <c r="F153" s="119">
        <f>SUM(F9:F152)</f>
        <v>42.5</v>
      </c>
      <c r="G153" s="132">
        <f>E153-F153+G8</f>
        <v>-0.89999999999999858</v>
      </c>
      <c r="H153" s="104"/>
      <c r="I153" s="105"/>
    </row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FFA6-5CC7-42F0-A80F-36458F3EAECA}">
  <sheetPr codeName="Sheet21"/>
  <dimension ref="A1:O160"/>
  <sheetViews>
    <sheetView topLeftCell="A31" workbookViewId="0">
      <selection activeCell="F48" sqref="F48"/>
    </sheetView>
  </sheetViews>
  <sheetFormatPr defaultRowHeight="15.75" x14ac:dyDescent="0.25"/>
  <cols>
    <col min="1" max="1" width="6" style="55" customWidth="1"/>
    <col min="2" max="2" width="11.5703125" style="55" customWidth="1"/>
    <col min="3" max="3" width="42.85546875" style="55" customWidth="1"/>
    <col min="4" max="4" width="6.140625" style="80" customWidth="1"/>
    <col min="5" max="5" width="12.28515625" style="120" customWidth="1"/>
    <col min="6" max="6" width="12.28515625" style="113" customWidth="1"/>
    <col min="7" max="7" width="12.28515625" style="111" customWidth="1"/>
    <col min="8" max="8" width="21.5703125" style="81" customWidth="1"/>
    <col min="9" max="9" width="16.28515625" style="81" customWidth="1"/>
    <col min="10" max="11" width="9" style="55"/>
    <col min="12" max="12" width="7.7109375" style="55" customWidth="1"/>
    <col min="13" max="256" width="9" style="55"/>
    <col min="257" max="257" width="6" style="55" customWidth="1"/>
    <col min="258" max="258" width="11.5703125" style="55" customWidth="1"/>
    <col min="259" max="259" width="45.42578125" style="55" customWidth="1"/>
    <col min="260" max="260" width="6.140625" style="55" customWidth="1"/>
    <col min="261" max="263" width="12.28515625" style="55" customWidth="1"/>
    <col min="264" max="264" width="15.140625" style="55" customWidth="1"/>
    <col min="265" max="265" width="15" style="55" customWidth="1"/>
    <col min="266" max="512" width="9" style="55"/>
    <col min="513" max="513" width="6" style="55" customWidth="1"/>
    <col min="514" max="514" width="11.5703125" style="55" customWidth="1"/>
    <col min="515" max="515" width="45.42578125" style="55" customWidth="1"/>
    <col min="516" max="516" width="6.140625" style="55" customWidth="1"/>
    <col min="517" max="519" width="12.28515625" style="55" customWidth="1"/>
    <col min="520" max="520" width="15.140625" style="55" customWidth="1"/>
    <col min="521" max="521" width="15" style="55" customWidth="1"/>
    <col min="522" max="768" width="9" style="55"/>
    <col min="769" max="769" width="6" style="55" customWidth="1"/>
    <col min="770" max="770" width="11.5703125" style="55" customWidth="1"/>
    <col min="771" max="771" width="45.42578125" style="55" customWidth="1"/>
    <col min="772" max="772" width="6.140625" style="55" customWidth="1"/>
    <col min="773" max="775" width="12.28515625" style="55" customWidth="1"/>
    <col min="776" max="776" width="15.140625" style="55" customWidth="1"/>
    <col min="777" max="777" width="15" style="55" customWidth="1"/>
    <col min="778" max="1024" width="9" style="55"/>
    <col min="1025" max="1025" width="6" style="55" customWidth="1"/>
    <col min="1026" max="1026" width="11.5703125" style="55" customWidth="1"/>
    <col min="1027" max="1027" width="45.42578125" style="55" customWidth="1"/>
    <col min="1028" max="1028" width="6.140625" style="55" customWidth="1"/>
    <col min="1029" max="1031" width="12.28515625" style="55" customWidth="1"/>
    <col min="1032" max="1032" width="15.140625" style="55" customWidth="1"/>
    <col min="1033" max="1033" width="15" style="55" customWidth="1"/>
    <col min="1034" max="1280" width="9" style="55"/>
    <col min="1281" max="1281" width="6" style="55" customWidth="1"/>
    <col min="1282" max="1282" width="11.5703125" style="55" customWidth="1"/>
    <col min="1283" max="1283" width="45.42578125" style="55" customWidth="1"/>
    <col min="1284" max="1284" width="6.140625" style="55" customWidth="1"/>
    <col min="1285" max="1287" width="12.28515625" style="55" customWidth="1"/>
    <col min="1288" max="1288" width="15.140625" style="55" customWidth="1"/>
    <col min="1289" max="1289" width="15" style="55" customWidth="1"/>
    <col min="1290" max="1536" width="9" style="55"/>
    <col min="1537" max="1537" width="6" style="55" customWidth="1"/>
    <col min="1538" max="1538" width="11.5703125" style="55" customWidth="1"/>
    <col min="1539" max="1539" width="45.42578125" style="55" customWidth="1"/>
    <col min="1540" max="1540" width="6.140625" style="55" customWidth="1"/>
    <col min="1541" max="1543" width="12.28515625" style="55" customWidth="1"/>
    <col min="1544" max="1544" width="15.140625" style="55" customWidth="1"/>
    <col min="1545" max="1545" width="15" style="55" customWidth="1"/>
    <col min="1546" max="1792" width="9" style="55"/>
    <col min="1793" max="1793" width="6" style="55" customWidth="1"/>
    <col min="1794" max="1794" width="11.5703125" style="55" customWidth="1"/>
    <col min="1795" max="1795" width="45.42578125" style="55" customWidth="1"/>
    <col min="1796" max="1796" width="6.140625" style="55" customWidth="1"/>
    <col min="1797" max="1799" width="12.28515625" style="55" customWidth="1"/>
    <col min="1800" max="1800" width="15.140625" style="55" customWidth="1"/>
    <col min="1801" max="1801" width="15" style="55" customWidth="1"/>
    <col min="1802" max="2048" width="9" style="55"/>
    <col min="2049" max="2049" width="6" style="55" customWidth="1"/>
    <col min="2050" max="2050" width="11.5703125" style="55" customWidth="1"/>
    <col min="2051" max="2051" width="45.42578125" style="55" customWidth="1"/>
    <col min="2052" max="2052" width="6.140625" style="55" customWidth="1"/>
    <col min="2053" max="2055" width="12.28515625" style="55" customWidth="1"/>
    <col min="2056" max="2056" width="15.140625" style="55" customWidth="1"/>
    <col min="2057" max="2057" width="15" style="55" customWidth="1"/>
    <col min="2058" max="2304" width="9" style="55"/>
    <col min="2305" max="2305" width="6" style="55" customWidth="1"/>
    <col min="2306" max="2306" width="11.5703125" style="55" customWidth="1"/>
    <col min="2307" max="2307" width="45.42578125" style="55" customWidth="1"/>
    <col min="2308" max="2308" width="6.140625" style="55" customWidth="1"/>
    <col min="2309" max="2311" width="12.28515625" style="55" customWidth="1"/>
    <col min="2312" max="2312" width="15.140625" style="55" customWidth="1"/>
    <col min="2313" max="2313" width="15" style="55" customWidth="1"/>
    <col min="2314" max="2560" width="9" style="55"/>
    <col min="2561" max="2561" width="6" style="55" customWidth="1"/>
    <col min="2562" max="2562" width="11.5703125" style="55" customWidth="1"/>
    <col min="2563" max="2563" width="45.42578125" style="55" customWidth="1"/>
    <col min="2564" max="2564" width="6.140625" style="55" customWidth="1"/>
    <col min="2565" max="2567" width="12.28515625" style="55" customWidth="1"/>
    <col min="2568" max="2568" width="15.140625" style="55" customWidth="1"/>
    <col min="2569" max="2569" width="15" style="55" customWidth="1"/>
    <col min="2570" max="2816" width="9" style="55"/>
    <col min="2817" max="2817" width="6" style="55" customWidth="1"/>
    <col min="2818" max="2818" width="11.5703125" style="55" customWidth="1"/>
    <col min="2819" max="2819" width="45.42578125" style="55" customWidth="1"/>
    <col min="2820" max="2820" width="6.140625" style="55" customWidth="1"/>
    <col min="2821" max="2823" width="12.28515625" style="55" customWidth="1"/>
    <col min="2824" max="2824" width="15.140625" style="55" customWidth="1"/>
    <col min="2825" max="2825" width="15" style="55" customWidth="1"/>
    <col min="2826" max="3072" width="9" style="55"/>
    <col min="3073" max="3073" width="6" style="55" customWidth="1"/>
    <col min="3074" max="3074" width="11.5703125" style="55" customWidth="1"/>
    <col min="3075" max="3075" width="45.42578125" style="55" customWidth="1"/>
    <col min="3076" max="3076" width="6.140625" style="55" customWidth="1"/>
    <col min="3077" max="3079" width="12.28515625" style="55" customWidth="1"/>
    <col min="3080" max="3080" width="15.140625" style="55" customWidth="1"/>
    <col min="3081" max="3081" width="15" style="55" customWidth="1"/>
    <col min="3082" max="3328" width="9" style="55"/>
    <col min="3329" max="3329" width="6" style="55" customWidth="1"/>
    <col min="3330" max="3330" width="11.5703125" style="55" customWidth="1"/>
    <col min="3331" max="3331" width="45.42578125" style="55" customWidth="1"/>
    <col min="3332" max="3332" width="6.140625" style="55" customWidth="1"/>
    <col min="3333" max="3335" width="12.28515625" style="55" customWidth="1"/>
    <col min="3336" max="3336" width="15.140625" style="55" customWidth="1"/>
    <col min="3337" max="3337" width="15" style="55" customWidth="1"/>
    <col min="3338" max="3584" width="9" style="55"/>
    <col min="3585" max="3585" width="6" style="55" customWidth="1"/>
    <col min="3586" max="3586" width="11.5703125" style="55" customWidth="1"/>
    <col min="3587" max="3587" width="45.42578125" style="55" customWidth="1"/>
    <col min="3588" max="3588" width="6.140625" style="55" customWidth="1"/>
    <col min="3589" max="3591" width="12.28515625" style="55" customWidth="1"/>
    <col min="3592" max="3592" width="15.140625" style="55" customWidth="1"/>
    <col min="3593" max="3593" width="15" style="55" customWidth="1"/>
    <col min="3594" max="3840" width="9" style="55"/>
    <col min="3841" max="3841" width="6" style="55" customWidth="1"/>
    <col min="3842" max="3842" width="11.5703125" style="55" customWidth="1"/>
    <col min="3843" max="3843" width="45.42578125" style="55" customWidth="1"/>
    <col min="3844" max="3844" width="6.140625" style="55" customWidth="1"/>
    <col min="3845" max="3847" width="12.28515625" style="55" customWidth="1"/>
    <col min="3848" max="3848" width="15.140625" style="55" customWidth="1"/>
    <col min="3849" max="3849" width="15" style="55" customWidth="1"/>
    <col min="3850" max="4096" width="9" style="55"/>
    <col min="4097" max="4097" width="6" style="55" customWidth="1"/>
    <col min="4098" max="4098" width="11.5703125" style="55" customWidth="1"/>
    <col min="4099" max="4099" width="45.42578125" style="55" customWidth="1"/>
    <col min="4100" max="4100" width="6.140625" style="55" customWidth="1"/>
    <col min="4101" max="4103" width="12.28515625" style="55" customWidth="1"/>
    <col min="4104" max="4104" width="15.140625" style="55" customWidth="1"/>
    <col min="4105" max="4105" width="15" style="55" customWidth="1"/>
    <col min="4106" max="4352" width="9" style="55"/>
    <col min="4353" max="4353" width="6" style="55" customWidth="1"/>
    <col min="4354" max="4354" width="11.5703125" style="55" customWidth="1"/>
    <col min="4355" max="4355" width="45.42578125" style="55" customWidth="1"/>
    <col min="4356" max="4356" width="6.140625" style="55" customWidth="1"/>
    <col min="4357" max="4359" width="12.28515625" style="55" customWidth="1"/>
    <col min="4360" max="4360" width="15.140625" style="55" customWidth="1"/>
    <col min="4361" max="4361" width="15" style="55" customWidth="1"/>
    <col min="4362" max="4608" width="9" style="55"/>
    <col min="4609" max="4609" width="6" style="55" customWidth="1"/>
    <col min="4610" max="4610" width="11.5703125" style="55" customWidth="1"/>
    <col min="4611" max="4611" width="45.42578125" style="55" customWidth="1"/>
    <col min="4612" max="4612" width="6.140625" style="55" customWidth="1"/>
    <col min="4613" max="4615" width="12.28515625" style="55" customWidth="1"/>
    <col min="4616" max="4616" width="15.140625" style="55" customWidth="1"/>
    <col min="4617" max="4617" width="15" style="55" customWidth="1"/>
    <col min="4618" max="4864" width="9" style="55"/>
    <col min="4865" max="4865" width="6" style="55" customWidth="1"/>
    <col min="4866" max="4866" width="11.5703125" style="55" customWidth="1"/>
    <col min="4867" max="4867" width="45.42578125" style="55" customWidth="1"/>
    <col min="4868" max="4868" width="6.140625" style="55" customWidth="1"/>
    <col min="4869" max="4871" width="12.28515625" style="55" customWidth="1"/>
    <col min="4872" max="4872" width="15.140625" style="55" customWidth="1"/>
    <col min="4873" max="4873" width="15" style="55" customWidth="1"/>
    <col min="4874" max="5120" width="9" style="55"/>
    <col min="5121" max="5121" width="6" style="55" customWidth="1"/>
    <col min="5122" max="5122" width="11.5703125" style="55" customWidth="1"/>
    <col min="5123" max="5123" width="45.42578125" style="55" customWidth="1"/>
    <col min="5124" max="5124" width="6.140625" style="55" customWidth="1"/>
    <col min="5125" max="5127" width="12.28515625" style="55" customWidth="1"/>
    <col min="5128" max="5128" width="15.140625" style="55" customWidth="1"/>
    <col min="5129" max="5129" width="15" style="55" customWidth="1"/>
    <col min="5130" max="5376" width="9" style="55"/>
    <col min="5377" max="5377" width="6" style="55" customWidth="1"/>
    <col min="5378" max="5378" width="11.5703125" style="55" customWidth="1"/>
    <col min="5379" max="5379" width="45.42578125" style="55" customWidth="1"/>
    <col min="5380" max="5380" width="6.140625" style="55" customWidth="1"/>
    <col min="5381" max="5383" width="12.28515625" style="55" customWidth="1"/>
    <col min="5384" max="5384" width="15.140625" style="55" customWidth="1"/>
    <col min="5385" max="5385" width="15" style="55" customWidth="1"/>
    <col min="5386" max="5632" width="9" style="55"/>
    <col min="5633" max="5633" width="6" style="55" customWidth="1"/>
    <col min="5634" max="5634" width="11.5703125" style="55" customWidth="1"/>
    <col min="5635" max="5635" width="45.42578125" style="55" customWidth="1"/>
    <col min="5636" max="5636" width="6.140625" style="55" customWidth="1"/>
    <col min="5637" max="5639" width="12.28515625" style="55" customWidth="1"/>
    <col min="5640" max="5640" width="15.140625" style="55" customWidth="1"/>
    <col min="5641" max="5641" width="15" style="55" customWidth="1"/>
    <col min="5642" max="5888" width="9" style="55"/>
    <col min="5889" max="5889" width="6" style="55" customWidth="1"/>
    <col min="5890" max="5890" width="11.5703125" style="55" customWidth="1"/>
    <col min="5891" max="5891" width="45.42578125" style="55" customWidth="1"/>
    <col min="5892" max="5892" width="6.140625" style="55" customWidth="1"/>
    <col min="5893" max="5895" width="12.28515625" style="55" customWidth="1"/>
    <col min="5896" max="5896" width="15.140625" style="55" customWidth="1"/>
    <col min="5897" max="5897" width="15" style="55" customWidth="1"/>
    <col min="5898" max="6144" width="9" style="55"/>
    <col min="6145" max="6145" width="6" style="55" customWidth="1"/>
    <col min="6146" max="6146" width="11.5703125" style="55" customWidth="1"/>
    <col min="6147" max="6147" width="45.42578125" style="55" customWidth="1"/>
    <col min="6148" max="6148" width="6.140625" style="55" customWidth="1"/>
    <col min="6149" max="6151" width="12.28515625" style="55" customWidth="1"/>
    <col min="6152" max="6152" width="15.140625" style="55" customWidth="1"/>
    <col min="6153" max="6153" width="15" style="55" customWidth="1"/>
    <col min="6154" max="6400" width="9" style="55"/>
    <col min="6401" max="6401" width="6" style="55" customWidth="1"/>
    <col min="6402" max="6402" width="11.5703125" style="55" customWidth="1"/>
    <col min="6403" max="6403" width="45.42578125" style="55" customWidth="1"/>
    <col min="6404" max="6404" width="6.140625" style="55" customWidth="1"/>
    <col min="6405" max="6407" width="12.28515625" style="55" customWidth="1"/>
    <col min="6408" max="6408" width="15.140625" style="55" customWidth="1"/>
    <col min="6409" max="6409" width="15" style="55" customWidth="1"/>
    <col min="6410" max="6656" width="9" style="55"/>
    <col min="6657" max="6657" width="6" style="55" customWidth="1"/>
    <col min="6658" max="6658" width="11.5703125" style="55" customWidth="1"/>
    <col min="6659" max="6659" width="45.42578125" style="55" customWidth="1"/>
    <col min="6660" max="6660" width="6.140625" style="55" customWidth="1"/>
    <col min="6661" max="6663" width="12.28515625" style="55" customWidth="1"/>
    <col min="6664" max="6664" width="15.140625" style="55" customWidth="1"/>
    <col min="6665" max="6665" width="15" style="55" customWidth="1"/>
    <col min="6666" max="6912" width="9" style="55"/>
    <col min="6913" max="6913" width="6" style="55" customWidth="1"/>
    <col min="6914" max="6914" width="11.5703125" style="55" customWidth="1"/>
    <col min="6915" max="6915" width="45.42578125" style="55" customWidth="1"/>
    <col min="6916" max="6916" width="6.140625" style="55" customWidth="1"/>
    <col min="6917" max="6919" width="12.28515625" style="55" customWidth="1"/>
    <col min="6920" max="6920" width="15.140625" style="55" customWidth="1"/>
    <col min="6921" max="6921" width="15" style="55" customWidth="1"/>
    <col min="6922" max="7168" width="9" style="55"/>
    <col min="7169" max="7169" width="6" style="55" customWidth="1"/>
    <col min="7170" max="7170" width="11.5703125" style="55" customWidth="1"/>
    <col min="7171" max="7171" width="45.42578125" style="55" customWidth="1"/>
    <col min="7172" max="7172" width="6.140625" style="55" customWidth="1"/>
    <col min="7173" max="7175" width="12.28515625" style="55" customWidth="1"/>
    <col min="7176" max="7176" width="15.140625" style="55" customWidth="1"/>
    <col min="7177" max="7177" width="15" style="55" customWidth="1"/>
    <col min="7178" max="7424" width="9" style="55"/>
    <col min="7425" max="7425" width="6" style="55" customWidth="1"/>
    <col min="7426" max="7426" width="11.5703125" style="55" customWidth="1"/>
    <col min="7427" max="7427" width="45.42578125" style="55" customWidth="1"/>
    <col min="7428" max="7428" width="6.140625" style="55" customWidth="1"/>
    <col min="7429" max="7431" width="12.28515625" style="55" customWidth="1"/>
    <col min="7432" max="7432" width="15.140625" style="55" customWidth="1"/>
    <col min="7433" max="7433" width="15" style="55" customWidth="1"/>
    <col min="7434" max="7680" width="9" style="55"/>
    <col min="7681" max="7681" width="6" style="55" customWidth="1"/>
    <col min="7682" max="7682" width="11.5703125" style="55" customWidth="1"/>
    <col min="7683" max="7683" width="45.42578125" style="55" customWidth="1"/>
    <col min="7684" max="7684" width="6.140625" style="55" customWidth="1"/>
    <col min="7685" max="7687" width="12.28515625" style="55" customWidth="1"/>
    <col min="7688" max="7688" width="15.140625" style="55" customWidth="1"/>
    <col min="7689" max="7689" width="15" style="55" customWidth="1"/>
    <col min="7690" max="7936" width="9" style="55"/>
    <col min="7937" max="7937" width="6" style="55" customWidth="1"/>
    <col min="7938" max="7938" width="11.5703125" style="55" customWidth="1"/>
    <col min="7939" max="7939" width="45.42578125" style="55" customWidth="1"/>
    <col min="7940" max="7940" width="6.140625" style="55" customWidth="1"/>
    <col min="7941" max="7943" width="12.28515625" style="55" customWidth="1"/>
    <col min="7944" max="7944" width="15.140625" style="55" customWidth="1"/>
    <col min="7945" max="7945" width="15" style="55" customWidth="1"/>
    <col min="7946" max="8192" width="9" style="55"/>
    <col min="8193" max="8193" width="6" style="55" customWidth="1"/>
    <col min="8194" max="8194" width="11.5703125" style="55" customWidth="1"/>
    <col min="8195" max="8195" width="45.42578125" style="55" customWidth="1"/>
    <col min="8196" max="8196" width="6.140625" style="55" customWidth="1"/>
    <col min="8197" max="8199" width="12.28515625" style="55" customWidth="1"/>
    <col min="8200" max="8200" width="15.140625" style="55" customWidth="1"/>
    <col min="8201" max="8201" width="15" style="55" customWidth="1"/>
    <col min="8202" max="8448" width="9" style="55"/>
    <col min="8449" max="8449" width="6" style="55" customWidth="1"/>
    <col min="8450" max="8450" width="11.5703125" style="55" customWidth="1"/>
    <col min="8451" max="8451" width="45.42578125" style="55" customWidth="1"/>
    <col min="8452" max="8452" width="6.140625" style="55" customWidth="1"/>
    <col min="8453" max="8455" width="12.28515625" style="55" customWidth="1"/>
    <col min="8456" max="8456" width="15.140625" style="55" customWidth="1"/>
    <col min="8457" max="8457" width="15" style="55" customWidth="1"/>
    <col min="8458" max="8704" width="9" style="55"/>
    <col min="8705" max="8705" width="6" style="55" customWidth="1"/>
    <col min="8706" max="8706" width="11.5703125" style="55" customWidth="1"/>
    <col min="8707" max="8707" width="45.42578125" style="55" customWidth="1"/>
    <col min="8708" max="8708" width="6.140625" style="55" customWidth="1"/>
    <col min="8709" max="8711" width="12.28515625" style="55" customWidth="1"/>
    <col min="8712" max="8712" width="15.140625" style="55" customWidth="1"/>
    <col min="8713" max="8713" width="15" style="55" customWidth="1"/>
    <col min="8714" max="8960" width="9" style="55"/>
    <col min="8961" max="8961" width="6" style="55" customWidth="1"/>
    <col min="8962" max="8962" width="11.5703125" style="55" customWidth="1"/>
    <col min="8963" max="8963" width="45.42578125" style="55" customWidth="1"/>
    <col min="8964" max="8964" width="6.140625" style="55" customWidth="1"/>
    <col min="8965" max="8967" width="12.28515625" style="55" customWidth="1"/>
    <col min="8968" max="8968" width="15.140625" style="55" customWidth="1"/>
    <col min="8969" max="8969" width="15" style="55" customWidth="1"/>
    <col min="8970" max="9216" width="9" style="55"/>
    <col min="9217" max="9217" width="6" style="55" customWidth="1"/>
    <col min="9218" max="9218" width="11.5703125" style="55" customWidth="1"/>
    <col min="9219" max="9219" width="45.42578125" style="55" customWidth="1"/>
    <col min="9220" max="9220" width="6.140625" style="55" customWidth="1"/>
    <col min="9221" max="9223" width="12.28515625" style="55" customWidth="1"/>
    <col min="9224" max="9224" width="15.140625" style="55" customWidth="1"/>
    <col min="9225" max="9225" width="15" style="55" customWidth="1"/>
    <col min="9226" max="9472" width="9" style="55"/>
    <col min="9473" max="9473" width="6" style="55" customWidth="1"/>
    <col min="9474" max="9474" width="11.5703125" style="55" customWidth="1"/>
    <col min="9475" max="9475" width="45.42578125" style="55" customWidth="1"/>
    <col min="9476" max="9476" width="6.140625" style="55" customWidth="1"/>
    <col min="9477" max="9479" width="12.28515625" style="55" customWidth="1"/>
    <col min="9480" max="9480" width="15.140625" style="55" customWidth="1"/>
    <col min="9481" max="9481" width="15" style="55" customWidth="1"/>
    <col min="9482" max="9728" width="9" style="55"/>
    <col min="9729" max="9729" width="6" style="55" customWidth="1"/>
    <col min="9730" max="9730" width="11.5703125" style="55" customWidth="1"/>
    <col min="9731" max="9731" width="45.42578125" style="55" customWidth="1"/>
    <col min="9732" max="9732" width="6.140625" style="55" customWidth="1"/>
    <col min="9733" max="9735" width="12.28515625" style="55" customWidth="1"/>
    <col min="9736" max="9736" width="15.140625" style="55" customWidth="1"/>
    <col min="9737" max="9737" width="15" style="55" customWidth="1"/>
    <col min="9738" max="9984" width="9" style="55"/>
    <col min="9985" max="9985" width="6" style="55" customWidth="1"/>
    <col min="9986" max="9986" width="11.5703125" style="55" customWidth="1"/>
    <col min="9987" max="9987" width="45.42578125" style="55" customWidth="1"/>
    <col min="9988" max="9988" width="6.140625" style="55" customWidth="1"/>
    <col min="9989" max="9991" width="12.28515625" style="55" customWidth="1"/>
    <col min="9992" max="9992" width="15.140625" style="55" customWidth="1"/>
    <col min="9993" max="9993" width="15" style="55" customWidth="1"/>
    <col min="9994" max="10240" width="9" style="55"/>
    <col min="10241" max="10241" width="6" style="55" customWidth="1"/>
    <col min="10242" max="10242" width="11.5703125" style="55" customWidth="1"/>
    <col min="10243" max="10243" width="45.42578125" style="55" customWidth="1"/>
    <col min="10244" max="10244" width="6.140625" style="55" customWidth="1"/>
    <col min="10245" max="10247" width="12.28515625" style="55" customWidth="1"/>
    <col min="10248" max="10248" width="15.140625" style="55" customWidth="1"/>
    <col min="10249" max="10249" width="15" style="55" customWidth="1"/>
    <col min="10250" max="10496" width="9" style="55"/>
    <col min="10497" max="10497" width="6" style="55" customWidth="1"/>
    <col min="10498" max="10498" width="11.5703125" style="55" customWidth="1"/>
    <col min="10499" max="10499" width="45.42578125" style="55" customWidth="1"/>
    <col min="10500" max="10500" width="6.140625" style="55" customWidth="1"/>
    <col min="10501" max="10503" width="12.28515625" style="55" customWidth="1"/>
    <col min="10504" max="10504" width="15.140625" style="55" customWidth="1"/>
    <col min="10505" max="10505" width="15" style="55" customWidth="1"/>
    <col min="10506" max="10752" width="9" style="55"/>
    <col min="10753" max="10753" width="6" style="55" customWidth="1"/>
    <col min="10754" max="10754" width="11.5703125" style="55" customWidth="1"/>
    <col min="10755" max="10755" width="45.42578125" style="55" customWidth="1"/>
    <col min="10756" max="10756" width="6.140625" style="55" customWidth="1"/>
    <col min="10757" max="10759" width="12.28515625" style="55" customWidth="1"/>
    <col min="10760" max="10760" width="15.140625" style="55" customWidth="1"/>
    <col min="10761" max="10761" width="15" style="55" customWidth="1"/>
    <col min="10762" max="11008" width="9" style="55"/>
    <col min="11009" max="11009" width="6" style="55" customWidth="1"/>
    <col min="11010" max="11010" width="11.5703125" style="55" customWidth="1"/>
    <col min="11011" max="11011" width="45.42578125" style="55" customWidth="1"/>
    <col min="11012" max="11012" width="6.140625" style="55" customWidth="1"/>
    <col min="11013" max="11015" width="12.28515625" style="55" customWidth="1"/>
    <col min="11016" max="11016" width="15.140625" style="55" customWidth="1"/>
    <col min="11017" max="11017" width="15" style="55" customWidth="1"/>
    <col min="11018" max="11264" width="9" style="55"/>
    <col min="11265" max="11265" width="6" style="55" customWidth="1"/>
    <col min="11266" max="11266" width="11.5703125" style="55" customWidth="1"/>
    <col min="11267" max="11267" width="45.42578125" style="55" customWidth="1"/>
    <col min="11268" max="11268" width="6.140625" style="55" customWidth="1"/>
    <col min="11269" max="11271" width="12.28515625" style="55" customWidth="1"/>
    <col min="11272" max="11272" width="15.140625" style="55" customWidth="1"/>
    <col min="11273" max="11273" width="15" style="55" customWidth="1"/>
    <col min="11274" max="11520" width="9" style="55"/>
    <col min="11521" max="11521" width="6" style="55" customWidth="1"/>
    <col min="11522" max="11522" width="11.5703125" style="55" customWidth="1"/>
    <col min="11523" max="11523" width="45.42578125" style="55" customWidth="1"/>
    <col min="11524" max="11524" width="6.140625" style="55" customWidth="1"/>
    <col min="11525" max="11527" width="12.28515625" style="55" customWidth="1"/>
    <col min="11528" max="11528" width="15.140625" style="55" customWidth="1"/>
    <col min="11529" max="11529" width="15" style="55" customWidth="1"/>
    <col min="11530" max="11776" width="9" style="55"/>
    <col min="11777" max="11777" width="6" style="55" customWidth="1"/>
    <col min="11778" max="11778" width="11.5703125" style="55" customWidth="1"/>
    <col min="11779" max="11779" width="45.42578125" style="55" customWidth="1"/>
    <col min="11780" max="11780" width="6.140625" style="55" customWidth="1"/>
    <col min="11781" max="11783" width="12.28515625" style="55" customWidth="1"/>
    <col min="11784" max="11784" width="15.140625" style="55" customWidth="1"/>
    <col min="11785" max="11785" width="15" style="55" customWidth="1"/>
    <col min="11786" max="12032" width="9" style="55"/>
    <col min="12033" max="12033" width="6" style="55" customWidth="1"/>
    <col min="12034" max="12034" width="11.5703125" style="55" customWidth="1"/>
    <col min="12035" max="12035" width="45.42578125" style="55" customWidth="1"/>
    <col min="12036" max="12036" width="6.140625" style="55" customWidth="1"/>
    <col min="12037" max="12039" width="12.28515625" style="55" customWidth="1"/>
    <col min="12040" max="12040" width="15.140625" style="55" customWidth="1"/>
    <col min="12041" max="12041" width="15" style="55" customWidth="1"/>
    <col min="12042" max="12288" width="9" style="55"/>
    <col min="12289" max="12289" width="6" style="55" customWidth="1"/>
    <col min="12290" max="12290" width="11.5703125" style="55" customWidth="1"/>
    <col min="12291" max="12291" width="45.42578125" style="55" customWidth="1"/>
    <col min="12292" max="12292" width="6.140625" style="55" customWidth="1"/>
    <col min="12293" max="12295" width="12.28515625" style="55" customWidth="1"/>
    <col min="12296" max="12296" width="15.140625" style="55" customWidth="1"/>
    <col min="12297" max="12297" width="15" style="55" customWidth="1"/>
    <col min="12298" max="12544" width="9" style="55"/>
    <col min="12545" max="12545" width="6" style="55" customWidth="1"/>
    <col min="12546" max="12546" width="11.5703125" style="55" customWidth="1"/>
    <col min="12547" max="12547" width="45.42578125" style="55" customWidth="1"/>
    <col min="12548" max="12548" width="6.140625" style="55" customWidth="1"/>
    <col min="12549" max="12551" width="12.28515625" style="55" customWidth="1"/>
    <col min="12552" max="12552" width="15.140625" style="55" customWidth="1"/>
    <col min="12553" max="12553" width="15" style="55" customWidth="1"/>
    <col min="12554" max="12800" width="9" style="55"/>
    <col min="12801" max="12801" width="6" style="55" customWidth="1"/>
    <col min="12802" max="12802" width="11.5703125" style="55" customWidth="1"/>
    <col min="12803" max="12803" width="45.42578125" style="55" customWidth="1"/>
    <col min="12804" max="12804" width="6.140625" style="55" customWidth="1"/>
    <col min="12805" max="12807" width="12.28515625" style="55" customWidth="1"/>
    <col min="12808" max="12808" width="15.140625" style="55" customWidth="1"/>
    <col min="12809" max="12809" width="15" style="55" customWidth="1"/>
    <col min="12810" max="13056" width="9" style="55"/>
    <col min="13057" max="13057" width="6" style="55" customWidth="1"/>
    <col min="13058" max="13058" width="11.5703125" style="55" customWidth="1"/>
    <col min="13059" max="13059" width="45.42578125" style="55" customWidth="1"/>
    <col min="13060" max="13060" width="6.140625" style="55" customWidth="1"/>
    <col min="13061" max="13063" width="12.28515625" style="55" customWidth="1"/>
    <col min="13064" max="13064" width="15.140625" style="55" customWidth="1"/>
    <col min="13065" max="13065" width="15" style="55" customWidth="1"/>
    <col min="13066" max="13312" width="9" style="55"/>
    <col min="13313" max="13313" width="6" style="55" customWidth="1"/>
    <col min="13314" max="13314" width="11.5703125" style="55" customWidth="1"/>
    <col min="13315" max="13315" width="45.42578125" style="55" customWidth="1"/>
    <col min="13316" max="13316" width="6.140625" style="55" customWidth="1"/>
    <col min="13317" max="13319" width="12.28515625" style="55" customWidth="1"/>
    <col min="13320" max="13320" width="15.140625" style="55" customWidth="1"/>
    <col min="13321" max="13321" width="15" style="55" customWidth="1"/>
    <col min="13322" max="13568" width="9" style="55"/>
    <col min="13569" max="13569" width="6" style="55" customWidth="1"/>
    <col min="13570" max="13570" width="11.5703125" style="55" customWidth="1"/>
    <col min="13571" max="13571" width="45.42578125" style="55" customWidth="1"/>
    <col min="13572" max="13572" width="6.140625" style="55" customWidth="1"/>
    <col min="13573" max="13575" width="12.28515625" style="55" customWidth="1"/>
    <col min="13576" max="13576" width="15.140625" style="55" customWidth="1"/>
    <col min="13577" max="13577" width="15" style="55" customWidth="1"/>
    <col min="13578" max="13824" width="9" style="55"/>
    <col min="13825" max="13825" width="6" style="55" customWidth="1"/>
    <col min="13826" max="13826" width="11.5703125" style="55" customWidth="1"/>
    <col min="13827" max="13827" width="45.42578125" style="55" customWidth="1"/>
    <col min="13828" max="13828" width="6.140625" style="55" customWidth="1"/>
    <col min="13829" max="13831" width="12.28515625" style="55" customWidth="1"/>
    <col min="13832" max="13832" width="15.140625" style="55" customWidth="1"/>
    <col min="13833" max="13833" width="15" style="55" customWidth="1"/>
    <col min="13834" max="14080" width="9" style="55"/>
    <col min="14081" max="14081" width="6" style="55" customWidth="1"/>
    <col min="14082" max="14082" width="11.5703125" style="55" customWidth="1"/>
    <col min="14083" max="14083" width="45.42578125" style="55" customWidth="1"/>
    <col min="14084" max="14084" width="6.140625" style="55" customWidth="1"/>
    <col min="14085" max="14087" width="12.28515625" style="55" customWidth="1"/>
    <col min="14088" max="14088" width="15.140625" style="55" customWidth="1"/>
    <col min="14089" max="14089" width="15" style="55" customWidth="1"/>
    <col min="14090" max="14336" width="9" style="55"/>
    <col min="14337" max="14337" width="6" style="55" customWidth="1"/>
    <col min="14338" max="14338" width="11.5703125" style="55" customWidth="1"/>
    <col min="14339" max="14339" width="45.42578125" style="55" customWidth="1"/>
    <col min="14340" max="14340" width="6.140625" style="55" customWidth="1"/>
    <col min="14341" max="14343" width="12.28515625" style="55" customWidth="1"/>
    <col min="14344" max="14344" width="15.140625" style="55" customWidth="1"/>
    <col min="14345" max="14345" width="15" style="55" customWidth="1"/>
    <col min="14346" max="14592" width="9" style="55"/>
    <col min="14593" max="14593" width="6" style="55" customWidth="1"/>
    <col min="14594" max="14594" width="11.5703125" style="55" customWidth="1"/>
    <col min="14595" max="14595" width="45.42578125" style="55" customWidth="1"/>
    <col min="14596" max="14596" width="6.140625" style="55" customWidth="1"/>
    <col min="14597" max="14599" width="12.28515625" style="55" customWidth="1"/>
    <col min="14600" max="14600" width="15.140625" style="55" customWidth="1"/>
    <col min="14601" max="14601" width="15" style="55" customWidth="1"/>
    <col min="14602" max="14848" width="9" style="55"/>
    <col min="14849" max="14849" width="6" style="55" customWidth="1"/>
    <col min="14850" max="14850" width="11.5703125" style="55" customWidth="1"/>
    <col min="14851" max="14851" width="45.42578125" style="55" customWidth="1"/>
    <col min="14852" max="14852" width="6.140625" style="55" customWidth="1"/>
    <col min="14853" max="14855" width="12.28515625" style="55" customWidth="1"/>
    <col min="14856" max="14856" width="15.140625" style="55" customWidth="1"/>
    <col min="14857" max="14857" width="15" style="55" customWidth="1"/>
    <col min="14858" max="15104" width="9" style="55"/>
    <col min="15105" max="15105" width="6" style="55" customWidth="1"/>
    <col min="15106" max="15106" width="11.5703125" style="55" customWidth="1"/>
    <col min="15107" max="15107" width="45.42578125" style="55" customWidth="1"/>
    <col min="15108" max="15108" width="6.140625" style="55" customWidth="1"/>
    <col min="15109" max="15111" width="12.28515625" style="55" customWidth="1"/>
    <col min="15112" max="15112" width="15.140625" style="55" customWidth="1"/>
    <col min="15113" max="15113" width="15" style="55" customWidth="1"/>
    <col min="15114" max="15360" width="9" style="55"/>
    <col min="15361" max="15361" width="6" style="55" customWidth="1"/>
    <col min="15362" max="15362" width="11.5703125" style="55" customWidth="1"/>
    <col min="15363" max="15363" width="45.42578125" style="55" customWidth="1"/>
    <col min="15364" max="15364" width="6.140625" style="55" customWidth="1"/>
    <col min="15365" max="15367" width="12.28515625" style="55" customWidth="1"/>
    <col min="15368" max="15368" width="15.140625" style="55" customWidth="1"/>
    <col min="15369" max="15369" width="15" style="55" customWidth="1"/>
    <col min="15370" max="15616" width="9" style="55"/>
    <col min="15617" max="15617" width="6" style="55" customWidth="1"/>
    <col min="15618" max="15618" width="11.5703125" style="55" customWidth="1"/>
    <col min="15619" max="15619" width="45.42578125" style="55" customWidth="1"/>
    <col min="15620" max="15620" width="6.140625" style="55" customWidth="1"/>
    <col min="15621" max="15623" width="12.28515625" style="55" customWidth="1"/>
    <col min="15624" max="15624" width="15.140625" style="55" customWidth="1"/>
    <col min="15625" max="15625" width="15" style="55" customWidth="1"/>
    <col min="15626" max="15872" width="9" style="55"/>
    <col min="15873" max="15873" width="6" style="55" customWidth="1"/>
    <col min="15874" max="15874" width="11.5703125" style="55" customWidth="1"/>
    <col min="15875" max="15875" width="45.42578125" style="55" customWidth="1"/>
    <col min="15876" max="15876" width="6.140625" style="55" customWidth="1"/>
    <col min="15877" max="15879" width="12.28515625" style="55" customWidth="1"/>
    <col min="15880" max="15880" width="15.140625" style="55" customWidth="1"/>
    <col min="15881" max="15881" width="15" style="55" customWidth="1"/>
    <col min="15882" max="16128" width="9" style="55"/>
    <col min="16129" max="16129" width="6" style="55" customWidth="1"/>
    <col min="16130" max="16130" width="11.5703125" style="55" customWidth="1"/>
    <col min="16131" max="16131" width="45.42578125" style="55" customWidth="1"/>
    <col min="16132" max="16132" width="6.140625" style="55" customWidth="1"/>
    <col min="16133" max="16135" width="12.28515625" style="55" customWidth="1"/>
    <col min="16136" max="16136" width="15.140625" style="55" customWidth="1"/>
    <col min="16137" max="16137" width="15" style="55" customWidth="1"/>
    <col min="16138" max="16384" width="9" style="55"/>
  </cols>
  <sheetData>
    <row r="1" spans="1:10" x14ac:dyDescent="0.25">
      <c r="A1" s="55" t="s">
        <v>16</v>
      </c>
    </row>
    <row r="2" spans="1:10" x14ac:dyDescent="0.25">
      <c r="A2" s="55" t="s">
        <v>1</v>
      </c>
    </row>
    <row r="4" spans="1:10" x14ac:dyDescent="0.25">
      <c r="A4" s="273" t="str">
        <f>+'[1]Hộp oto'!A4:I5</f>
        <v>THẺ KHO NGUYÊN VẬT LIỆU</v>
      </c>
      <c r="B4" s="273"/>
      <c r="C4" s="273"/>
      <c r="D4" s="273"/>
      <c r="E4" s="273"/>
      <c r="F4" s="273"/>
      <c r="G4" s="273"/>
      <c r="H4" s="273"/>
      <c r="I4" s="273"/>
    </row>
    <row r="5" spans="1:10" x14ac:dyDescent="0.25">
      <c r="A5" s="273"/>
      <c r="B5" s="273"/>
      <c r="C5" s="273"/>
      <c r="D5" s="273"/>
      <c r="E5" s="273"/>
      <c r="F5" s="273"/>
      <c r="G5" s="273"/>
      <c r="H5" s="273"/>
      <c r="I5" s="273"/>
    </row>
    <row r="7" spans="1:10" ht="33.75" customHeight="1" x14ac:dyDescent="0.25">
      <c r="A7" s="65" t="s">
        <v>3</v>
      </c>
      <c r="B7" s="65" t="s">
        <v>4</v>
      </c>
      <c r="C7" s="4" t="s">
        <v>31</v>
      </c>
      <c r="D7" s="65" t="s">
        <v>5</v>
      </c>
      <c r="E7" s="121" t="s">
        <v>6</v>
      </c>
      <c r="F7" s="114" t="s">
        <v>7</v>
      </c>
      <c r="G7" s="112" t="s">
        <v>8</v>
      </c>
      <c r="H7" s="82" t="s">
        <v>9</v>
      </c>
      <c r="I7" s="82" t="s">
        <v>10</v>
      </c>
    </row>
    <row r="8" spans="1:10" s="90" customFormat="1" ht="18" customHeight="1" x14ac:dyDescent="0.25">
      <c r="A8" s="83"/>
      <c r="B8" s="84"/>
      <c r="C8" s="85" t="s">
        <v>14</v>
      </c>
      <c r="D8" s="61" t="s">
        <v>17</v>
      </c>
      <c r="E8" s="86"/>
      <c r="F8" s="86"/>
      <c r="G8" s="87"/>
      <c r="H8" s="88"/>
      <c r="I8" s="89"/>
    </row>
    <row r="9" spans="1:10" ht="18" customHeight="1" x14ac:dyDescent="0.25">
      <c r="A9" s="58"/>
      <c r="B9" s="59">
        <v>45714</v>
      </c>
      <c r="C9" s="66" t="s">
        <v>71</v>
      </c>
      <c r="D9" s="61" t="s">
        <v>17</v>
      </c>
      <c r="E9" s="62">
        <v>85.6</v>
      </c>
      <c r="F9" s="62"/>
      <c r="G9" s="91">
        <f>+G8+E9-F9</f>
        <v>85.6</v>
      </c>
      <c r="H9" s="92" t="s">
        <v>32</v>
      </c>
      <c r="I9" s="92" t="s">
        <v>25</v>
      </c>
    </row>
    <row r="10" spans="1:10" ht="18" customHeight="1" x14ac:dyDescent="0.25">
      <c r="A10" s="58"/>
      <c r="B10" s="59">
        <v>45740</v>
      </c>
      <c r="C10" s="66"/>
      <c r="D10" s="61"/>
      <c r="E10" s="62"/>
      <c r="F10" s="93">
        <v>11.8</v>
      </c>
      <c r="G10" s="91">
        <f t="shared" ref="G10:G80" si="0">+G9+E10-F10</f>
        <v>73.8</v>
      </c>
      <c r="H10" s="92" t="s">
        <v>32</v>
      </c>
      <c r="I10" s="92" t="s">
        <v>25</v>
      </c>
    </row>
    <row r="11" spans="1:10" ht="18" customHeight="1" x14ac:dyDescent="0.25">
      <c r="A11" s="58"/>
      <c r="B11" s="70">
        <v>45750</v>
      </c>
      <c r="C11" s="66"/>
      <c r="D11" s="61"/>
      <c r="E11" s="62"/>
      <c r="F11" s="93">
        <v>7.4</v>
      </c>
      <c r="G11" s="91">
        <f t="shared" si="0"/>
        <v>66.399999999999991</v>
      </c>
      <c r="H11" s="92" t="s">
        <v>32</v>
      </c>
      <c r="I11" s="92" t="s">
        <v>25</v>
      </c>
    </row>
    <row r="12" spans="1:10" ht="18" customHeight="1" x14ac:dyDescent="0.25">
      <c r="A12" s="58"/>
      <c r="B12" s="59">
        <v>45751</v>
      </c>
      <c r="C12" s="66"/>
      <c r="D12" s="61"/>
      <c r="E12" s="62"/>
      <c r="F12" s="93">
        <v>18.600000000000001</v>
      </c>
      <c r="G12" s="91">
        <f t="shared" si="0"/>
        <v>47.79999999999999</v>
      </c>
      <c r="H12" s="92" t="s">
        <v>32</v>
      </c>
      <c r="I12" s="92" t="s">
        <v>25</v>
      </c>
    </row>
    <row r="13" spans="1:10" ht="18" customHeight="1" x14ac:dyDescent="0.25">
      <c r="A13" s="58"/>
      <c r="B13" s="59">
        <v>45752</v>
      </c>
      <c r="C13" s="66"/>
      <c r="D13" s="61"/>
      <c r="E13" s="62"/>
      <c r="F13" s="93">
        <f>5.4+3.6</f>
        <v>9</v>
      </c>
      <c r="G13" s="91">
        <f t="shared" si="0"/>
        <v>38.79999999999999</v>
      </c>
      <c r="H13" s="92" t="s">
        <v>32</v>
      </c>
      <c r="I13" s="92" t="s">
        <v>25</v>
      </c>
    </row>
    <row r="14" spans="1:10" ht="18" customHeight="1" x14ac:dyDescent="0.25">
      <c r="A14" s="58"/>
      <c r="B14" s="59">
        <v>45756</v>
      </c>
      <c r="C14" s="66"/>
      <c r="D14" s="61"/>
      <c r="E14" s="62"/>
      <c r="F14" s="93">
        <v>3</v>
      </c>
      <c r="G14" s="91">
        <f t="shared" si="0"/>
        <v>35.79999999999999</v>
      </c>
      <c r="H14" s="92" t="s">
        <v>32</v>
      </c>
      <c r="I14" s="92" t="s">
        <v>25</v>
      </c>
    </row>
    <row r="15" spans="1:10" ht="18" customHeight="1" x14ac:dyDescent="0.25">
      <c r="A15" s="58"/>
      <c r="B15" s="59">
        <v>45766</v>
      </c>
      <c r="C15" s="66"/>
      <c r="D15" s="61"/>
      <c r="E15" s="62"/>
      <c r="F15" s="93">
        <v>18.5</v>
      </c>
      <c r="G15" s="91">
        <f>+G14+E15-F15</f>
        <v>17.29999999999999</v>
      </c>
      <c r="H15" s="92" t="s">
        <v>32</v>
      </c>
      <c r="I15" s="92" t="s">
        <v>25</v>
      </c>
    </row>
    <row r="16" spans="1:10" ht="18" customHeight="1" x14ac:dyDescent="0.25">
      <c r="A16" s="58"/>
      <c r="B16" s="59">
        <v>45769</v>
      </c>
      <c r="C16" s="66"/>
      <c r="D16" s="61"/>
      <c r="E16" s="62"/>
      <c r="F16" s="93">
        <v>1.8</v>
      </c>
      <c r="G16" s="91">
        <f t="shared" si="0"/>
        <v>15.499999999999989</v>
      </c>
      <c r="H16" s="92" t="s">
        <v>32</v>
      </c>
      <c r="I16" s="92" t="s">
        <v>25</v>
      </c>
      <c r="J16" s="72"/>
    </row>
    <row r="17" spans="1:15" ht="18" customHeight="1" x14ac:dyDescent="0.25">
      <c r="A17" s="58"/>
      <c r="B17" s="94">
        <v>45770</v>
      </c>
      <c r="C17" s="66"/>
      <c r="D17" s="61"/>
      <c r="E17" s="62"/>
      <c r="F17" s="62">
        <v>4.0999999999999996</v>
      </c>
      <c r="G17" s="91">
        <f t="shared" si="0"/>
        <v>11.39999999999999</v>
      </c>
      <c r="H17" s="92" t="s">
        <v>32</v>
      </c>
      <c r="I17" s="92" t="s">
        <v>25</v>
      </c>
      <c r="J17" s="72"/>
    </row>
    <row r="18" spans="1:15" ht="18" customHeight="1" x14ac:dyDescent="0.25">
      <c r="A18" s="96"/>
      <c r="B18" s="97">
        <v>45772</v>
      </c>
      <c r="C18" s="153"/>
      <c r="D18" s="154"/>
      <c r="E18" s="122"/>
      <c r="F18" s="115">
        <v>1.8</v>
      </c>
      <c r="G18" s="155">
        <f t="shared" si="0"/>
        <v>9.599999999999989</v>
      </c>
      <c r="H18" s="156" t="s">
        <v>32</v>
      </c>
      <c r="I18" s="157" t="s">
        <v>38</v>
      </c>
      <c r="J18" s="72"/>
    </row>
    <row r="19" spans="1:15" ht="18" customHeight="1" x14ac:dyDescent="0.25">
      <c r="A19" s="96"/>
      <c r="B19" s="97">
        <v>45773</v>
      </c>
      <c r="C19" s="153"/>
      <c r="D19" s="154"/>
      <c r="E19" s="122">
        <v>212</v>
      </c>
      <c r="F19" s="115"/>
      <c r="G19" s="155">
        <f t="shared" si="0"/>
        <v>221.6</v>
      </c>
      <c r="H19" s="156"/>
      <c r="I19" s="157"/>
      <c r="J19" s="72"/>
    </row>
    <row r="20" spans="1:15" ht="18" customHeight="1" x14ac:dyDescent="0.25">
      <c r="A20" s="58"/>
      <c r="B20" s="59">
        <v>45785</v>
      </c>
      <c r="C20" s="66"/>
      <c r="D20" s="61"/>
      <c r="E20" s="62"/>
      <c r="F20" s="93">
        <v>5.8</v>
      </c>
      <c r="G20" s="219">
        <f t="shared" si="0"/>
        <v>215.79999999999998</v>
      </c>
      <c r="H20" s="92" t="s">
        <v>32</v>
      </c>
      <c r="I20" s="92" t="s">
        <v>25</v>
      </c>
      <c r="J20" s="72"/>
    </row>
    <row r="21" spans="1:15" ht="18" customHeight="1" x14ac:dyDescent="0.25">
      <c r="A21" s="58"/>
      <c r="B21" s="59">
        <v>45787</v>
      </c>
      <c r="C21" s="66"/>
      <c r="D21" s="61"/>
      <c r="E21" s="62"/>
      <c r="F21" s="93">
        <v>8.4</v>
      </c>
      <c r="G21" s="219">
        <f t="shared" si="0"/>
        <v>207.39999999999998</v>
      </c>
      <c r="H21" s="92"/>
      <c r="I21" s="92"/>
      <c r="J21" s="72"/>
    </row>
    <row r="22" spans="1:15" ht="18" customHeight="1" x14ac:dyDescent="0.25">
      <c r="A22" s="58"/>
      <c r="B22" s="59">
        <v>45789</v>
      </c>
      <c r="C22" s="66"/>
      <c r="D22" s="61"/>
      <c r="E22" s="62"/>
      <c r="F22" s="93">
        <v>1</v>
      </c>
      <c r="G22" s="219">
        <f t="shared" si="0"/>
        <v>206.39999999999998</v>
      </c>
      <c r="H22" s="92"/>
      <c r="I22" s="92"/>
      <c r="J22" s="72"/>
    </row>
    <row r="23" spans="1:15" ht="18" customHeight="1" x14ac:dyDescent="0.25">
      <c r="A23" s="58"/>
      <c r="B23" s="59">
        <v>45793</v>
      </c>
      <c r="C23" s="66"/>
      <c r="D23" s="61"/>
      <c r="E23" s="62"/>
      <c r="F23" s="93">
        <v>4.3</v>
      </c>
      <c r="G23" s="219">
        <f t="shared" si="0"/>
        <v>202.09999999999997</v>
      </c>
      <c r="H23" s="92" t="s">
        <v>32</v>
      </c>
      <c r="I23" s="92" t="s">
        <v>25</v>
      </c>
      <c r="J23" s="72"/>
      <c r="O23" s="55">
        <f>13*20+7</f>
        <v>267</v>
      </c>
    </row>
    <row r="24" spans="1:15" ht="18" customHeight="1" x14ac:dyDescent="0.25">
      <c r="A24" s="58"/>
      <c r="B24" s="59">
        <v>45794</v>
      </c>
      <c r="C24" s="66"/>
      <c r="D24" s="61"/>
      <c r="E24" s="62"/>
      <c r="F24" s="93">
        <v>1.3</v>
      </c>
      <c r="G24" s="219">
        <f t="shared" si="0"/>
        <v>200.79999999999995</v>
      </c>
      <c r="H24" s="92" t="s">
        <v>32</v>
      </c>
      <c r="I24" s="92" t="s">
        <v>25</v>
      </c>
      <c r="J24" s="72"/>
      <c r="O24" s="55">
        <f>+O23*16+7</f>
        <v>4279</v>
      </c>
    </row>
    <row r="25" spans="1:15" ht="18.75" customHeight="1" x14ac:dyDescent="0.25">
      <c r="A25" s="58"/>
      <c r="B25" s="59">
        <v>45799</v>
      </c>
      <c r="C25" s="66"/>
      <c r="D25" s="61"/>
      <c r="E25" s="62"/>
      <c r="F25" s="93">
        <v>13</v>
      </c>
      <c r="G25" s="219">
        <f t="shared" si="0"/>
        <v>187.79999999999995</v>
      </c>
      <c r="H25" s="92"/>
      <c r="I25" s="92"/>
      <c r="J25" s="72"/>
    </row>
    <row r="26" spans="1:15" ht="18" customHeight="1" x14ac:dyDescent="0.25">
      <c r="A26" s="58"/>
      <c r="B26" s="59">
        <v>45801</v>
      </c>
      <c r="C26" s="66"/>
      <c r="D26" s="61"/>
      <c r="E26" s="62"/>
      <c r="F26" s="62">
        <v>2</v>
      </c>
      <c r="G26" s="219">
        <f t="shared" si="0"/>
        <v>185.79999999999995</v>
      </c>
      <c r="H26" s="92" t="s">
        <v>32</v>
      </c>
      <c r="I26" s="92" t="s">
        <v>25</v>
      </c>
      <c r="J26" s="72"/>
      <c r="O26" s="55">
        <f>+O24*91/2810</f>
        <v>138.57259786476868</v>
      </c>
    </row>
    <row r="27" spans="1:15" ht="18" customHeight="1" x14ac:dyDescent="0.25">
      <c r="A27" s="58"/>
      <c r="B27" s="59">
        <v>45807</v>
      </c>
      <c r="C27" s="66"/>
      <c r="D27" s="61"/>
      <c r="E27" s="62"/>
      <c r="F27" s="93">
        <v>12.8</v>
      </c>
      <c r="G27" s="219">
        <f t="shared" si="0"/>
        <v>172.99999999999994</v>
      </c>
      <c r="H27" s="92" t="s">
        <v>32</v>
      </c>
      <c r="I27" s="92" t="s">
        <v>25</v>
      </c>
      <c r="J27" s="72"/>
      <c r="O27" s="55">
        <f>13*20+7</f>
        <v>267</v>
      </c>
    </row>
    <row r="28" spans="1:15" ht="18" customHeight="1" x14ac:dyDescent="0.25">
      <c r="A28" s="58"/>
      <c r="B28" s="59">
        <v>45820</v>
      </c>
      <c r="C28" s="66"/>
      <c r="D28" s="61"/>
      <c r="E28" s="62"/>
      <c r="F28" s="93">
        <v>12.2</v>
      </c>
      <c r="G28" s="219">
        <f t="shared" si="0"/>
        <v>160.79999999999995</v>
      </c>
      <c r="H28" s="92" t="s">
        <v>32</v>
      </c>
      <c r="I28" s="92" t="s">
        <v>39</v>
      </c>
      <c r="O28" s="55">
        <f>+O27*16</f>
        <v>4272</v>
      </c>
    </row>
    <row r="29" spans="1:15" ht="18" customHeight="1" x14ac:dyDescent="0.25">
      <c r="A29" s="58"/>
      <c r="B29" s="59">
        <v>45821</v>
      </c>
      <c r="C29" s="66"/>
      <c r="D29" s="61"/>
      <c r="E29" s="62"/>
      <c r="F29" s="93">
        <v>10.4</v>
      </c>
      <c r="G29" s="219">
        <f t="shared" si="0"/>
        <v>150.39999999999995</v>
      </c>
      <c r="H29" s="92"/>
      <c r="I29" s="92"/>
    </row>
    <row r="30" spans="1:15" ht="18" customHeight="1" x14ac:dyDescent="0.25">
      <c r="A30" s="58"/>
      <c r="B30" s="59">
        <v>45822</v>
      </c>
      <c r="C30" s="66"/>
      <c r="D30" s="61"/>
      <c r="E30" s="62"/>
      <c r="F30" s="93">
        <v>3.4</v>
      </c>
      <c r="G30" s="219">
        <f t="shared" si="0"/>
        <v>146.99999999999994</v>
      </c>
      <c r="H30" s="92" t="s">
        <v>32</v>
      </c>
      <c r="I30" s="92" t="s">
        <v>25</v>
      </c>
    </row>
    <row r="31" spans="1:15" ht="18" customHeight="1" x14ac:dyDescent="0.25">
      <c r="A31" s="58"/>
      <c r="B31" s="59">
        <v>45826</v>
      </c>
      <c r="C31" s="66"/>
      <c r="D31" s="61"/>
      <c r="E31" s="62"/>
      <c r="F31" s="93">
        <v>1.9</v>
      </c>
      <c r="G31" s="219">
        <f t="shared" si="0"/>
        <v>145.09999999999994</v>
      </c>
      <c r="H31" s="92" t="s">
        <v>32</v>
      </c>
      <c r="I31" s="92" t="s">
        <v>25</v>
      </c>
    </row>
    <row r="32" spans="1:15" s="98" customFormat="1" ht="18" customHeight="1" x14ac:dyDescent="0.25">
      <c r="A32" s="96"/>
      <c r="B32" s="97">
        <v>45827</v>
      </c>
      <c r="C32" s="66"/>
      <c r="D32" s="61"/>
      <c r="E32" s="122"/>
      <c r="F32" s="115">
        <v>3.1</v>
      </c>
      <c r="G32" s="219">
        <f t="shared" si="0"/>
        <v>141.99999999999994</v>
      </c>
      <c r="H32" s="92" t="s">
        <v>32</v>
      </c>
      <c r="I32" s="92" t="s">
        <v>25</v>
      </c>
    </row>
    <row r="33" spans="1:9" ht="18" customHeight="1" x14ac:dyDescent="0.25">
      <c r="A33" s="58"/>
      <c r="B33" s="59">
        <v>45828</v>
      </c>
      <c r="C33" s="66"/>
      <c r="D33" s="61"/>
      <c r="E33" s="62"/>
      <c r="F33" s="93">
        <v>8.1999999999999993</v>
      </c>
      <c r="G33" s="219">
        <f t="shared" si="0"/>
        <v>133.79999999999995</v>
      </c>
      <c r="H33" s="92" t="s">
        <v>32</v>
      </c>
      <c r="I33" s="92" t="s">
        <v>25</v>
      </c>
    </row>
    <row r="34" spans="1:9" ht="18" customHeight="1" x14ac:dyDescent="0.25">
      <c r="A34" s="58"/>
      <c r="B34" s="59">
        <v>45836</v>
      </c>
      <c r="C34" s="66"/>
      <c r="D34" s="61"/>
      <c r="E34" s="62"/>
      <c r="F34" s="62">
        <v>14</v>
      </c>
      <c r="G34" s="219">
        <f t="shared" si="0"/>
        <v>119.79999999999995</v>
      </c>
      <c r="H34" s="92" t="s">
        <v>32</v>
      </c>
      <c r="I34" s="92" t="s">
        <v>25</v>
      </c>
    </row>
    <row r="35" spans="1:9" ht="18" customHeight="1" x14ac:dyDescent="0.25">
      <c r="A35" s="58"/>
      <c r="B35" s="59">
        <v>45842</v>
      </c>
      <c r="C35" s="66"/>
      <c r="D35" s="61"/>
      <c r="E35" s="62"/>
      <c r="F35" s="62">
        <v>11.5</v>
      </c>
      <c r="G35" s="219">
        <f t="shared" si="0"/>
        <v>108.29999999999995</v>
      </c>
      <c r="H35" s="92" t="s">
        <v>32</v>
      </c>
      <c r="I35" s="92" t="s">
        <v>25</v>
      </c>
    </row>
    <row r="36" spans="1:9" ht="18" customHeight="1" x14ac:dyDescent="0.25">
      <c r="A36" s="58"/>
      <c r="B36" s="59">
        <v>45842</v>
      </c>
      <c r="C36" s="66"/>
      <c r="D36" s="61"/>
      <c r="E36" s="62"/>
      <c r="F36" s="62">
        <v>8</v>
      </c>
      <c r="G36" s="219">
        <f t="shared" si="0"/>
        <v>100.29999999999995</v>
      </c>
      <c r="H36" s="92" t="s">
        <v>32</v>
      </c>
      <c r="I36" s="92" t="s">
        <v>25</v>
      </c>
    </row>
    <row r="37" spans="1:9" ht="18" customHeight="1" x14ac:dyDescent="0.25">
      <c r="A37" s="58"/>
      <c r="B37" s="59">
        <v>45854</v>
      </c>
      <c r="C37" s="66"/>
      <c r="D37" s="61"/>
      <c r="E37" s="62"/>
      <c r="F37" s="62">
        <v>13.5</v>
      </c>
      <c r="G37" s="219">
        <f t="shared" si="0"/>
        <v>86.799999999999955</v>
      </c>
      <c r="H37" s="92" t="s">
        <v>32</v>
      </c>
      <c r="I37" s="92" t="s">
        <v>25</v>
      </c>
    </row>
    <row r="38" spans="1:9" ht="18" customHeight="1" x14ac:dyDescent="0.25">
      <c r="A38" s="58"/>
      <c r="B38" s="59">
        <v>45867</v>
      </c>
      <c r="C38" s="66"/>
      <c r="D38" s="61"/>
      <c r="E38" s="62"/>
      <c r="F38" s="62">
        <v>7.9</v>
      </c>
      <c r="G38" s="219">
        <f t="shared" si="0"/>
        <v>78.899999999999949</v>
      </c>
      <c r="H38" s="92"/>
      <c r="I38" s="92"/>
    </row>
    <row r="39" spans="1:9" ht="18" customHeight="1" x14ac:dyDescent="0.25">
      <c r="A39" s="58"/>
      <c r="B39" s="59">
        <v>45871</v>
      </c>
      <c r="C39" s="66"/>
      <c r="D39" s="61"/>
      <c r="E39" s="62"/>
      <c r="F39" s="62">
        <v>3</v>
      </c>
      <c r="G39" s="219">
        <f t="shared" si="0"/>
        <v>75.899999999999949</v>
      </c>
      <c r="H39" s="92"/>
      <c r="I39" s="92"/>
    </row>
    <row r="40" spans="1:9" ht="18" customHeight="1" x14ac:dyDescent="0.25">
      <c r="A40" s="58"/>
      <c r="B40" s="59">
        <v>45876</v>
      </c>
      <c r="C40" s="66"/>
      <c r="D40" s="61"/>
      <c r="E40" s="62"/>
      <c r="F40" s="62">
        <v>17</v>
      </c>
      <c r="G40" s="219">
        <f t="shared" si="0"/>
        <v>58.899999999999949</v>
      </c>
      <c r="H40" s="92" t="s">
        <v>32</v>
      </c>
      <c r="I40" s="92" t="s">
        <v>25</v>
      </c>
    </row>
    <row r="41" spans="1:9" ht="18" customHeight="1" x14ac:dyDescent="0.25">
      <c r="A41" s="58"/>
      <c r="B41" s="59">
        <v>45877</v>
      </c>
      <c r="C41" s="66"/>
      <c r="D41" s="61"/>
      <c r="E41" s="62"/>
      <c r="F41" s="62">
        <v>13.5</v>
      </c>
      <c r="G41" s="219">
        <f t="shared" si="0"/>
        <v>45.399999999999949</v>
      </c>
      <c r="H41" s="92" t="s">
        <v>32</v>
      </c>
      <c r="I41" s="92" t="s">
        <v>25</v>
      </c>
    </row>
    <row r="42" spans="1:9" ht="18" customHeight="1" x14ac:dyDescent="0.25">
      <c r="A42" s="58"/>
      <c r="B42" s="59">
        <v>45885</v>
      </c>
      <c r="C42" s="66"/>
      <c r="D42" s="61"/>
      <c r="E42" s="62"/>
      <c r="F42" s="122">
        <v>12</v>
      </c>
      <c r="G42" s="219">
        <f t="shared" si="0"/>
        <v>33.399999999999949</v>
      </c>
      <c r="H42" s="92" t="s">
        <v>32</v>
      </c>
      <c r="I42" s="92" t="s">
        <v>25</v>
      </c>
    </row>
    <row r="43" spans="1:9" ht="18" customHeight="1" x14ac:dyDescent="0.25">
      <c r="A43" s="58"/>
      <c r="B43" s="59">
        <v>45887</v>
      </c>
      <c r="C43" s="66"/>
      <c r="D43" s="61"/>
      <c r="E43" s="62"/>
      <c r="F43" s="62">
        <v>0.2</v>
      </c>
      <c r="G43" s="219">
        <f t="shared" si="0"/>
        <v>33.199999999999946</v>
      </c>
      <c r="H43" s="92" t="s">
        <v>32</v>
      </c>
      <c r="I43" s="92" t="s">
        <v>25</v>
      </c>
    </row>
    <row r="44" spans="1:9" ht="18" customHeight="1" x14ac:dyDescent="0.25">
      <c r="A44" s="58"/>
      <c r="B44" s="59">
        <v>45888</v>
      </c>
      <c r="C44" s="66"/>
      <c r="D44" s="61"/>
      <c r="E44" s="62"/>
      <c r="F44" s="62">
        <v>13.5</v>
      </c>
      <c r="G44" s="219">
        <f t="shared" si="0"/>
        <v>19.699999999999946</v>
      </c>
      <c r="H44" s="92" t="s">
        <v>32</v>
      </c>
      <c r="I44" s="92" t="s">
        <v>25</v>
      </c>
    </row>
    <row r="45" spans="1:9" ht="18" customHeight="1" x14ac:dyDescent="0.25">
      <c r="A45" s="58"/>
      <c r="B45" s="59">
        <v>45905</v>
      </c>
      <c r="C45" s="66"/>
      <c r="D45" s="61"/>
      <c r="E45" s="62"/>
      <c r="F45" s="62">
        <v>6</v>
      </c>
      <c r="G45" s="219">
        <f t="shared" si="0"/>
        <v>13.699999999999946</v>
      </c>
      <c r="H45" s="92" t="s">
        <v>32</v>
      </c>
      <c r="I45" s="92" t="s">
        <v>25</v>
      </c>
    </row>
    <row r="46" spans="1:9" ht="18" customHeight="1" x14ac:dyDescent="0.25">
      <c r="A46" s="58"/>
      <c r="B46" s="59">
        <v>45906</v>
      </c>
      <c r="C46" s="66"/>
      <c r="D46" s="61"/>
      <c r="E46" s="62"/>
      <c r="F46" s="62">
        <v>2</v>
      </c>
      <c r="G46" s="219">
        <f t="shared" si="0"/>
        <v>11.699999999999946</v>
      </c>
      <c r="H46" s="92" t="s">
        <v>32</v>
      </c>
      <c r="I46" s="92" t="s">
        <v>25</v>
      </c>
    </row>
    <row r="47" spans="1:9" ht="18" customHeight="1" x14ac:dyDescent="0.25">
      <c r="A47" s="58"/>
      <c r="B47" s="59">
        <v>45908</v>
      </c>
      <c r="C47" s="66"/>
      <c r="D47" s="61"/>
      <c r="E47" s="62"/>
      <c r="F47" s="99">
        <v>6.5</v>
      </c>
      <c r="G47" s="219">
        <f t="shared" si="0"/>
        <v>5.199999999999946</v>
      </c>
      <c r="H47" s="92" t="s">
        <v>27</v>
      </c>
      <c r="I47" s="92" t="s">
        <v>25</v>
      </c>
    </row>
    <row r="48" spans="1:9" ht="18" customHeight="1" x14ac:dyDescent="0.25">
      <c r="A48" s="58"/>
      <c r="B48" s="59">
        <v>45929</v>
      </c>
      <c r="C48" s="66"/>
      <c r="D48" s="61"/>
      <c r="E48" s="62"/>
      <c r="F48" s="99">
        <v>5.6</v>
      </c>
      <c r="G48" s="219">
        <f t="shared" si="0"/>
        <v>-0.40000000000005365</v>
      </c>
      <c r="H48" s="92" t="s">
        <v>27</v>
      </c>
      <c r="I48" s="92" t="s">
        <v>25</v>
      </c>
    </row>
    <row r="49" spans="1:9" ht="18" customHeight="1" x14ac:dyDescent="0.25">
      <c r="A49" s="58"/>
      <c r="B49" s="59">
        <v>45930</v>
      </c>
      <c r="C49" s="66"/>
      <c r="D49" s="61"/>
      <c r="E49" s="62"/>
      <c r="F49" s="99"/>
      <c r="G49" s="219">
        <f t="shared" si="0"/>
        <v>-0.40000000000005365</v>
      </c>
      <c r="H49" s="92" t="s">
        <v>27</v>
      </c>
      <c r="I49" s="92" t="s">
        <v>25</v>
      </c>
    </row>
    <row r="50" spans="1:9" ht="18" customHeight="1" x14ac:dyDescent="0.25">
      <c r="A50" s="58"/>
      <c r="B50" s="59">
        <v>45934</v>
      </c>
      <c r="C50" s="66"/>
      <c r="D50" s="61" t="s">
        <v>17</v>
      </c>
      <c r="E50" s="62"/>
      <c r="F50" s="99"/>
      <c r="G50" s="219">
        <f t="shared" si="0"/>
        <v>-0.40000000000005365</v>
      </c>
      <c r="H50" s="92" t="s">
        <v>27</v>
      </c>
      <c r="I50" s="92" t="s">
        <v>25</v>
      </c>
    </row>
    <row r="51" spans="1:9" ht="18" customHeight="1" x14ac:dyDescent="0.25">
      <c r="A51" s="58"/>
      <c r="B51" s="59"/>
      <c r="C51" s="66"/>
      <c r="D51" s="61" t="s">
        <v>17</v>
      </c>
      <c r="E51" s="62"/>
      <c r="F51" s="99"/>
      <c r="G51" s="219">
        <f t="shared" si="0"/>
        <v>-0.40000000000005365</v>
      </c>
      <c r="H51" s="92" t="s">
        <v>27</v>
      </c>
      <c r="I51" s="92" t="s">
        <v>25</v>
      </c>
    </row>
    <row r="52" spans="1:9" ht="18" customHeight="1" x14ac:dyDescent="0.25">
      <c r="A52" s="58"/>
      <c r="B52" s="59"/>
      <c r="C52" s="66"/>
      <c r="D52" s="61" t="s">
        <v>17</v>
      </c>
      <c r="E52" s="62"/>
      <c r="F52" s="99"/>
      <c r="G52" s="219">
        <f t="shared" si="0"/>
        <v>-0.40000000000005365</v>
      </c>
      <c r="H52" s="92" t="s">
        <v>27</v>
      </c>
      <c r="I52" s="92" t="s">
        <v>25</v>
      </c>
    </row>
    <row r="53" spans="1:9" ht="18" customHeight="1" x14ac:dyDescent="0.25">
      <c r="A53" s="58"/>
      <c r="B53" s="59"/>
      <c r="C53" s="66"/>
      <c r="D53" s="61" t="s">
        <v>17</v>
      </c>
      <c r="E53" s="62"/>
      <c r="F53" s="99"/>
      <c r="G53" s="219">
        <f t="shared" si="0"/>
        <v>-0.40000000000005365</v>
      </c>
      <c r="H53" s="92" t="s">
        <v>27</v>
      </c>
      <c r="I53" s="92" t="s">
        <v>25</v>
      </c>
    </row>
    <row r="54" spans="1:9" ht="18" customHeight="1" x14ac:dyDescent="0.25">
      <c r="A54" s="58"/>
      <c r="B54" s="59"/>
      <c r="C54" s="66"/>
      <c r="D54" s="61" t="s">
        <v>17</v>
      </c>
      <c r="E54" s="62"/>
      <c r="F54" s="99"/>
      <c r="G54" s="219">
        <f t="shared" si="0"/>
        <v>-0.40000000000005365</v>
      </c>
      <c r="H54" s="92" t="s">
        <v>27</v>
      </c>
      <c r="I54" s="92" t="s">
        <v>25</v>
      </c>
    </row>
    <row r="55" spans="1:9" ht="18" customHeight="1" x14ac:dyDescent="0.25">
      <c r="A55" s="58"/>
      <c r="B55" s="59"/>
      <c r="C55" s="66"/>
      <c r="D55" s="61" t="s">
        <v>17</v>
      </c>
      <c r="E55" s="62"/>
      <c r="F55" s="99"/>
      <c r="G55" s="219">
        <f t="shared" si="0"/>
        <v>-0.40000000000005365</v>
      </c>
      <c r="H55" s="92" t="s">
        <v>27</v>
      </c>
      <c r="I55" s="92" t="s">
        <v>25</v>
      </c>
    </row>
    <row r="56" spans="1:9" ht="18" customHeight="1" x14ac:dyDescent="0.25">
      <c r="A56" s="58"/>
      <c r="B56" s="59"/>
      <c r="C56" s="66"/>
      <c r="D56" s="61" t="s">
        <v>17</v>
      </c>
      <c r="E56" s="62"/>
      <c r="F56" s="99"/>
      <c r="G56" s="219">
        <f t="shared" si="0"/>
        <v>-0.40000000000005365</v>
      </c>
      <c r="H56" s="92" t="s">
        <v>27</v>
      </c>
      <c r="I56" s="92" t="s">
        <v>25</v>
      </c>
    </row>
    <row r="57" spans="1:9" ht="18" customHeight="1" x14ac:dyDescent="0.25">
      <c r="A57" s="58"/>
      <c r="B57" s="59"/>
      <c r="C57" s="66"/>
      <c r="D57" s="61" t="s">
        <v>17</v>
      </c>
      <c r="E57" s="62"/>
      <c r="F57" s="99"/>
      <c r="G57" s="219">
        <f t="shared" si="0"/>
        <v>-0.40000000000005365</v>
      </c>
      <c r="H57" s="92" t="s">
        <v>27</v>
      </c>
      <c r="I57" s="92" t="s">
        <v>25</v>
      </c>
    </row>
    <row r="58" spans="1:9" ht="18" customHeight="1" x14ac:dyDescent="0.25">
      <c r="A58" s="58"/>
      <c r="B58" s="59"/>
      <c r="C58" s="66"/>
      <c r="D58" s="61" t="s">
        <v>17</v>
      </c>
      <c r="E58" s="62"/>
      <c r="F58" s="99"/>
      <c r="G58" s="219">
        <f t="shared" si="0"/>
        <v>-0.40000000000005365</v>
      </c>
      <c r="H58" s="92" t="s">
        <v>27</v>
      </c>
      <c r="I58" s="92" t="s">
        <v>25</v>
      </c>
    </row>
    <row r="59" spans="1:9" ht="18" customHeight="1" x14ac:dyDescent="0.25">
      <c r="A59" s="58"/>
      <c r="B59" s="59"/>
      <c r="C59" s="66"/>
      <c r="D59" s="61" t="s">
        <v>17</v>
      </c>
      <c r="E59" s="62"/>
      <c r="F59" s="99"/>
      <c r="G59" s="219">
        <f t="shared" si="0"/>
        <v>-0.40000000000005365</v>
      </c>
      <c r="H59" s="92" t="s">
        <v>27</v>
      </c>
      <c r="I59" s="92" t="s">
        <v>25</v>
      </c>
    </row>
    <row r="60" spans="1:9" ht="18" customHeight="1" x14ac:dyDescent="0.25">
      <c r="A60" s="58"/>
      <c r="B60" s="59"/>
      <c r="C60" s="66"/>
      <c r="D60" s="61" t="s">
        <v>17</v>
      </c>
      <c r="E60" s="62"/>
      <c r="F60" s="99"/>
      <c r="G60" s="219">
        <f t="shared" si="0"/>
        <v>-0.40000000000005365</v>
      </c>
      <c r="H60" s="92" t="s">
        <v>27</v>
      </c>
      <c r="I60" s="92" t="s">
        <v>25</v>
      </c>
    </row>
    <row r="61" spans="1:9" ht="18" customHeight="1" x14ac:dyDescent="0.25">
      <c r="A61" s="58"/>
      <c r="B61" s="59"/>
      <c r="C61" s="66"/>
      <c r="D61" s="61" t="s">
        <v>17</v>
      </c>
      <c r="E61" s="62"/>
      <c r="F61" s="99"/>
      <c r="G61" s="219">
        <f t="shared" si="0"/>
        <v>-0.40000000000005365</v>
      </c>
      <c r="H61" s="92" t="s">
        <v>27</v>
      </c>
      <c r="I61" s="92" t="s">
        <v>25</v>
      </c>
    </row>
    <row r="62" spans="1:9" ht="18" customHeight="1" x14ac:dyDescent="0.25">
      <c r="A62" s="58"/>
      <c r="B62" s="59"/>
      <c r="C62" s="66"/>
      <c r="D62" s="61" t="s">
        <v>17</v>
      </c>
      <c r="E62" s="62"/>
      <c r="F62" s="99"/>
      <c r="G62" s="219">
        <f t="shared" si="0"/>
        <v>-0.40000000000005365</v>
      </c>
      <c r="H62" s="92" t="s">
        <v>27</v>
      </c>
      <c r="I62" s="92" t="s">
        <v>25</v>
      </c>
    </row>
    <row r="63" spans="1:9" ht="18" customHeight="1" x14ac:dyDescent="0.25">
      <c r="A63" s="58"/>
      <c r="B63" s="59"/>
      <c r="C63" s="66"/>
      <c r="D63" s="61" t="s">
        <v>17</v>
      </c>
      <c r="E63" s="62"/>
      <c r="F63" s="99"/>
      <c r="G63" s="219">
        <f t="shared" si="0"/>
        <v>-0.40000000000005365</v>
      </c>
      <c r="H63" s="92" t="s">
        <v>27</v>
      </c>
      <c r="I63" s="92" t="s">
        <v>25</v>
      </c>
    </row>
    <row r="64" spans="1:9" ht="18" customHeight="1" x14ac:dyDescent="0.25">
      <c r="A64" s="58"/>
      <c r="B64" s="59"/>
      <c r="C64" s="66"/>
      <c r="D64" s="61" t="s">
        <v>17</v>
      </c>
      <c r="E64" s="62"/>
      <c r="F64" s="99"/>
      <c r="G64" s="219">
        <f t="shared" si="0"/>
        <v>-0.40000000000005365</v>
      </c>
      <c r="H64" s="92" t="s">
        <v>27</v>
      </c>
      <c r="I64" s="92" t="s">
        <v>25</v>
      </c>
    </row>
    <row r="65" spans="1:9" ht="18" customHeight="1" x14ac:dyDescent="0.25">
      <c r="A65" s="58"/>
      <c r="B65" s="59"/>
      <c r="C65" s="66"/>
      <c r="D65" s="61" t="s">
        <v>17</v>
      </c>
      <c r="E65" s="62"/>
      <c r="F65" s="116"/>
      <c r="G65" s="219">
        <f t="shared" si="0"/>
        <v>-0.40000000000005365</v>
      </c>
      <c r="H65" s="92" t="s">
        <v>27</v>
      </c>
      <c r="I65" s="92" t="s">
        <v>25</v>
      </c>
    </row>
    <row r="66" spans="1:9" ht="18" customHeight="1" x14ac:dyDescent="0.25">
      <c r="A66" s="58"/>
      <c r="B66" s="59"/>
      <c r="C66" s="66"/>
      <c r="D66" s="61" t="s">
        <v>17</v>
      </c>
      <c r="E66" s="62"/>
      <c r="F66" s="116"/>
      <c r="G66" s="219">
        <f t="shared" si="0"/>
        <v>-0.40000000000005365</v>
      </c>
      <c r="H66" s="92" t="s">
        <v>27</v>
      </c>
      <c r="I66" s="92" t="s">
        <v>25</v>
      </c>
    </row>
    <row r="67" spans="1:9" ht="18" customHeight="1" x14ac:dyDescent="0.25">
      <c r="A67" s="58"/>
      <c r="B67" s="59"/>
      <c r="C67" s="66"/>
      <c r="D67" s="61" t="s">
        <v>17</v>
      </c>
      <c r="E67" s="62"/>
      <c r="F67" s="116"/>
      <c r="G67" s="219">
        <f t="shared" si="0"/>
        <v>-0.40000000000005365</v>
      </c>
      <c r="H67" s="92" t="s">
        <v>27</v>
      </c>
      <c r="I67" s="92" t="s">
        <v>25</v>
      </c>
    </row>
    <row r="68" spans="1:9" ht="18" customHeight="1" x14ac:dyDescent="0.25">
      <c r="A68" s="58"/>
      <c r="B68" s="59"/>
      <c r="C68" s="66"/>
      <c r="D68" s="61" t="s">
        <v>17</v>
      </c>
      <c r="E68" s="62"/>
      <c r="F68" s="116"/>
      <c r="G68" s="219">
        <f t="shared" si="0"/>
        <v>-0.40000000000005365</v>
      </c>
      <c r="H68" s="92" t="s">
        <v>27</v>
      </c>
      <c r="I68" s="92" t="s">
        <v>25</v>
      </c>
    </row>
    <row r="69" spans="1:9" ht="18" customHeight="1" x14ac:dyDescent="0.25">
      <c r="A69" s="58"/>
      <c r="B69" s="59"/>
      <c r="C69" s="66"/>
      <c r="D69" s="61" t="s">
        <v>17</v>
      </c>
      <c r="E69" s="62"/>
      <c r="F69" s="116"/>
      <c r="G69" s="219">
        <f t="shared" si="0"/>
        <v>-0.40000000000005365</v>
      </c>
      <c r="H69" s="92" t="s">
        <v>27</v>
      </c>
      <c r="I69" s="92" t="s">
        <v>25</v>
      </c>
    </row>
    <row r="70" spans="1:9" ht="18" customHeight="1" x14ac:dyDescent="0.25">
      <c r="A70" s="58"/>
      <c r="B70" s="59"/>
      <c r="C70" s="66"/>
      <c r="D70" s="61" t="s">
        <v>17</v>
      </c>
      <c r="E70" s="62"/>
      <c r="F70" s="116"/>
      <c r="G70" s="219">
        <f t="shared" si="0"/>
        <v>-0.40000000000005365</v>
      </c>
      <c r="H70" s="92" t="s">
        <v>27</v>
      </c>
      <c r="I70" s="92" t="s">
        <v>25</v>
      </c>
    </row>
    <row r="71" spans="1:9" ht="18" customHeight="1" x14ac:dyDescent="0.25">
      <c r="A71" s="58"/>
      <c r="B71" s="59"/>
      <c r="C71" s="66"/>
      <c r="D71" s="61" t="s">
        <v>17</v>
      </c>
      <c r="E71" s="62"/>
      <c r="F71" s="116"/>
      <c r="G71" s="219">
        <f t="shared" si="0"/>
        <v>-0.40000000000005365</v>
      </c>
      <c r="H71" s="92" t="s">
        <v>27</v>
      </c>
      <c r="I71" s="92" t="s">
        <v>25</v>
      </c>
    </row>
    <row r="72" spans="1:9" ht="18" customHeight="1" x14ac:dyDescent="0.25">
      <c r="A72" s="58"/>
      <c r="B72" s="59"/>
      <c r="C72" s="66"/>
      <c r="D72" s="61" t="s">
        <v>17</v>
      </c>
      <c r="E72" s="62"/>
      <c r="F72" s="116"/>
      <c r="G72" s="219">
        <f t="shared" si="0"/>
        <v>-0.40000000000005365</v>
      </c>
      <c r="H72" s="92" t="s">
        <v>27</v>
      </c>
      <c r="I72" s="92" t="s">
        <v>25</v>
      </c>
    </row>
    <row r="73" spans="1:9" ht="18" customHeight="1" x14ac:dyDescent="0.25">
      <c r="A73" s="58"/>
      <c r="B73" s="59"/>
      <c r="C73" s="66"/>
      <c r="D73" s="61" t="s">
        <v>17</v>
      </c>
      <c r="E73" s="62"/>
      <c r="F73" s="116"/>
      <c r="G73" s="219">
        <f t="shared" si="0"/>
        <v>-0.40000000000005365</v>
      </c>
      <c r="H73" s="92" t="s">
        <v>27</v>
      </c>
      <c r="I73" s="92" t="s">
        <v>25</v>
      </c>
    </row>
    <row r="74" spans="1:9" ht="18" customHeight="1" x14ac:dyDescent="0.25">
      <c r="A74" s="58"/>
      <c r="B74" s="59"/>
      <c r="C74" s="66"/>
      <c r="D74" s="61" t="s">
        <v>17</v>
      </c>
      <c r="E74" s="62"/>
      <c r="F74" s="116"/>
      <c r="G74" s="219">
        <f t="shared" si="0"/>
        <v>-0.40000000000005365</v>
      </c>
      <c r="H74" s="92" t="s">
        <v>27</v>
      </c>
      <c r="I74" s="92" t="s">
        <v>25</v>
      </c>
    </row>
    <row r="75" spans="1:9" ht="18" customHeight="1" x14ac:dyDescent="0.25">
      <c r="A75" s="58"/>
      <c r="B75" s="59"/>
      <c r="C75" s="66"/>
      <c r="D75" s="61" t="s">
        <v>17</v>
      </c>
      <c r="E75" s="62"/>
      <c r="F75" s="116"/>
      <c r="G75" s="219">
        <f t="shared" si="0"/>
        <v>-0.40000000000005365</v>
      </c>
      <c r="H75" s="92" t="s">
        <v>27</v>
      </c>
      <c r="I75" s="92" t="s">
        <v>25</v>
      </c>
    </row>
    <row r="76" spans="1:9" ht="18" customHeight="1" x14ac:dyDescent="0.25">
      <c r="A76" s="58"/>
      <c r="B76" s="59"/>
      <c r="C76" s="66"/>
      <c r="D76" s="61" t="s">
        <v>17</v>
      </c>
      <c r="E76" s="62"/>
      <c r="F76" s="116"/>
      <c r="G76" s="219">
        <f t="shared" si="0"/>
        <v>-0.40000000000005365</v>
      </c>
      <c r="H76" s="92" t="s">
        <v>27</v>
      </c>
      <c r="I76" s="92" t="s">
        <v>25</v>
      </c>
    </row>
    <row r="77" spans="1:9" ht="18" customHeight="1" x14ac:dyDescent="0.25">
      <c r="A77" s="58"/>
      <c r="B77" s="59"/>
      <c r="C77" s="66"/>
      <c r="D77" s="61" t="s">
        <v>17</v>
      </c>
      <c r="E77" s="62"/>
      <c r="F77" s="116"/>
      <c r="G77" s="219">
        <f t="shared" si="0"/>
        <v>-0.40000000000005365</v>
      </c>
      <c r="H77" s="92" t="s">
        <v>27</v>
      </c>
      <c r="I77" s="92" t="s">
        <v>25</v>
      </c>
    </row>
    <row r="78" spans="1:9" ht="18" customHeight="1" x14ac:dyDescent="0.25">
      <c r="A78" s="58"/>
      <c r="B78" s="59"/>
      <c r="C78" s="66"/>
      <c r="D78" s="61" t="s">
        <v>17</v>
      </c>
      <c r="E78" s="62"/>
      <c r="F78" s="116"/>
      <c r="G78" s="219">
        <f t="shared" si="0"/>
        <v>-0.40000000000005365</v>
      </c>
      <c r="H78" s="92" t="s">
        <v>27</v>
      </c>
      <c r="I78" s="92" t="s">
        <v>25</v>
      </c>
    </row>
    <row r="79" spans="1:9" ht="18" customHeight="1" x14ac:dyDescent="0.25">
      <c r="A79" s="58"/>
      <c r="B79" s="59"/>
      <c r="C79" s="66"/>
      <c r="D79" s="61" t="s">
        <v>17</v>
      </c>
      <c r="E79" s="62"/>
      <c r="F79" s="116"/>
      <c r="G79" s="219">
        <f t="shared" si="0"/>
        <v>-0.40000000000005365</v>
      </c>
      <c r="H79" s="92" t="s">
        <v>27</v>
      </c>
      <c r="I79" s="92" t="s">
        <v>25</v>
      </c>
    </row>
    <row r="80" spans="1:9" ht="18" customHeight="1" x14ac:dyDescent="0.25">
      <c r="A80" s="58"/>
      <c r="B80" s="59"/>
      <c r="C80" s="66"/>
      <c r="D80" s="61" t="s">
        <v>17</v>
      </c>
      <c r="E80" s="62"/>
      <c r="F80" s="116"/>
      <c r="G80" s="219">
        <f t="shared" si="0"/>
        <v>-0.40000000000005365</v>
      </c>
      <c r="H80" s="92" t="s">
        <v>27</v>
      </c>
      <c r="I80" s="92" t="s">
        <v>25</v>
      </c>
    </row>
    <row r="81" spans="1:9" ht="18" customHeight="1" x14ac:dyDescent="0.25">
      <c r="A81" s="58"/>
      <c r="B81" s="59"/>
      <c r="C81" s="66"/>
      <c r="D81" s="61" t="s">
        <v>17</v>
      </c>
      <c r="E81" s="62"/>
      <c r="F81" s="116"/>
      <c r="G81" s="219">
        <f t="shared" ref="G81:G144" si="1">+G80+E81-F81</f>
        <v>-0.40000000000005365</v>
      </c>
      <c r="H81" s="92" t="s">
        <v>27</v>
      </c>
      <c r="I81" s="92" t="s">
        <v>25</v>
      </c>
    </row>
    <row r="82" spans="1:9" ht="18" customHeight="1" x14ac:dyDescent="0.25">
      <c r="A82" s="58"/>
      <c r="B82" s="59"/>
      <c r="C82" s="66"/>
      <c r="D82" s="61" t="s">
        <v>17</v>
      </c>
      <c r="E82" s="62"/>
      <c r="F82" s="116"/>
      <c r="G82" s="219">
        <f t="shared" si="1"/>
        <v>-0.40000000000005365</v>
      </c>
      <c r="H82" s="92"/>
      <c r="I82" s="92"/>
    </row>
    <row r="83" spans="1:9" ht="18" customHeight="1" x14ac:dyDescent="0.25">
      <c r="A83" s="58"/>
      <c r="B83" s="59"/>
      <c r="C83" s="66"/>
      <c r="D83" s="61" t="s">
        <v>17</v>
      </c>
      <c r="E83" s="62"/>
      <c r="F83" s="116"/>
      <c r="G83" s="219">
        <f t="shared" si="1"/>
        <v>-0.40000000000005365</v>
      </c>
      <c r="H83" s="92"/>
      <c r="I83" s="92"/>
    </row>
    <row r="84" spans="1:9" ht="18" customHeight="1" x14ac:dyDescent="0.25">
      <c r="A84" s="58"/>
      <c r="B84" s="59"/>
      <c r="C84" s="66"/>
      <c r="D84" s="61" t="s">
        <v>17</v>
      </c>
      <c r="E84" s="62"/>
      <c r="F84" s="116"/>
      <c r="G84" s="219">
        <f t="shared" si="1"/>
        <v>-0.40000000000005365</v>
      </c>
      <c r="H84" s="92"/>
      <c r="I84" s="92"/>
    </row>
    <row r="85" spans="1:9" ht="18" customHeight="1" x14ac:dyDescent="0.25">
      <c r="A85" s="58"/>
      <c r="B85" s="59"/>
      <c r="C85" s="66"/>
      <c r="D85" s="61" t="s">
        <v>17</v>
      </c>
      <c r="E85" s="62"/>
      <c r="F85" s="116"/>
      <c r="G85" s="219">
        <f t="shared" si="1"/>
        <v>-0.40000000000005365</v>
      </c>
      <c r="H85" s="92"/>
      <c r="I85" s="92"/>
    </row>
    <row r="86" spans="1:9" ht="18" customHeight="1" x14ac:dyDescent="0.25">
      <c r="A86" s="58"/>
      <c r="B86" s="59"/>
      <c r="C86" s="66"/>
      <c r="D86" s="61" t="s">
        <v>17</v>
      </c>
      <c r="E86" s="62"/>
      <c r="F86" s="116"/>
      <c r="G86" s="219">
        <f t="shared" si="1"/>
        <v>-0.40000000000005365</v>
      </c>
      <c r="H86" s="92"/>
      <c r="I86" s="92"/>
    </row>
    <row r="87" spans="1:9" ht="18" customHeight="1" x14ac:dyDescent="0.25">
      <c r="A87" s="58"/>
      <c r="B87" s="59"/>
      <c r="C87" s="66"/>
      <c r="D87" s="61" t="s">
        <v>17</v>
      </c>
      <c r="E87" s="62"/>
      <c r="F87" s="116"/>
      <c r="G87" s="219">
        <f t="shared" si="1"/>
        <v>-0.40000000000005365</v>
      </c>
      <c r="H87" s="92"/>
      <c r="I87" s="92"/>
    </row>
    <row r="88" spans="1:9" ht="18" customHeight="1" x14ac:dyDescent="0.25">
      <c r="A88" s="58"/>
      <c r="B88" s="59"/>
      <c r="C88" s="66"/>
      <c r="D88" s="61" t="s">
        <v>17</v>
      </c>
      <c r="E88" s="62"/>
      <c r="F88" s="116"/>
      <c r="G88" s="219">
        <f t="shared" si="1"/>
        <v>-0.40000000000005365</v>
      </c>
      <c r="H88" s="92"/>
      <c r="I88" s="92"/>
    </row>
    <row r="89" spans="1:9" s="131" customFormat="1" ht="18" customHeight="1" x14ac:dyDescent="0.25">
      <c r="A89" s="125"/>
      <c r="B89" s="126"/>
      <c r="C89" s="66"/>
      <c r="D89" s="127" t="s">
        <v>17</v>
      </c>
      <c r="E89" s="128"/>
      <c r="F89" s="129"/>
      <c r="G89" s="219">
        <f t="shared" si="1"/>
        <v>-0.40000000000005365</v>
      </c>
      <c r="H89" s="92"/>
      <c r="I89" s="130"/>
    </row>
    <row r="90" spans="1:9" ht="18" customHeight="1" x14ac:dyDescent="0.25">
      <c r="A90" s="58"/>
      <c r="B90" s="59"/>
      <c r="C90" s="66"/>
      <c r="D90" s="61" t="s">
        <v>17</v>
      </c>
      <c r="E90" s="62"/>
      <c r="F90" s="116"/>
      <c r="G90" s="219">
        <f t="shared" si="1"/>
        <v>-0.40000000000005365</v>
      </c>
      <c r="H90" s="92"/>
      <c r="I90" s="130"/>
    </row>
    <row r="91" spans="1:9" ht="18" customHeight="1" x14ac:dyDescent="0.25">
      <c r="A91" s="58"/>
      <c r="B91" s="59"/>
      <c r="C91" s="66" t="s">
        <v>35</v>
      </c>
      <c r="D91" s="61" t="s">
        <v>17</v>
      </c>
      <c r="E91" s="62"/>
      <c r="F91" s="116"/>
      <c r="G91" s="219">
        <f t="shared" si="1"/>
        <v>-0.40000000000005365</v>
      </c>
      <c r="H91" s="92"/>
      <c r="I91" s="92"/>
    </row>
    <row r="92" spans="1:9" ht="18" customHeight="1" x14ac:dyDescent="0.25">
      <c r="A92" s="58"/>
      <c r="B92" s="59"/>
      <c r="C92" s="66" t="s">
        <v>35</v>
      </c>
      <c r="D92" s="61" t="s">
        <v>17</v>
      </c>
      <c r="E92" s="62"/>
      <c r="F92" s="116"/>
      <c r="G92" s="219">
        <f t="shared" si="1"/>
        <v>-0.40000000000005365</v>
      </c>
      <c r="H92" s="92"/>
      <c r="I92" s="92"/>
    </row>
    <row r="93" spans="1:9" ht="18" customHeight="1" x14ac:dyDescent="0.25">
      <c r="A93" s="58"/>
      <c r="B93" s="59"/>
      <c r="C93" s="66" t="s">
        <v>35</v>
      </c>
      <c r="D93" s="61" t="s">
        <v>17</v>
      </c>
      <c r="E93" s="62"/>
      <c r="F93" s="116"/>
      <c r="G93" s="219">
        <f t="shared" si="1"/>
        <v>-0.40000000000005365</v>
      </c>
      <c r="H93" s="92"/>
      <c r="I93" s="92"/>
    </row>
    <row r="94" spans="1:9" ht="18" customHeight="1" x14ac:dyDescent="0.25">
      <c r="A94" s="58"/>
      <c r="B94" s="59"/>
      <c r="C94" s="66" t="s">
        <v>35</v>
      </c>
      <c r="D94" s="61" t="s">
        <v>17</v>
      </c>
      <c r="E94" s="62"/>
      <c r="F94" s="116"/>
      <c r="G94" s="219">
        <f t="shared" si="1"/>
        <v>-0.40000000000005365</v>
      </c>
      <c r="H94" s="92"/>
      <c r="I94" s="92"/>
    </row>
    <row r="95" spans="1:9" ht="18" customHeight="1" x14ac:dyDescent="0.25">
      <c r="A95" s="58"/>
      <c r="B95" s="59"/>
      <c r="C95" s="66" t="s">
        <v>35</v>
      </c>
      <c r="D95" s="61" t="s">
        <v>17</v>
      </c>
      <c r="E95" s="62"/>
      <c r="F95" s="116"/>
      <c r="G95" s="219">
        <f t="shared" si="1"/>
        <v>-0.40000000000005365</v>
      </c>
      <c r="H95" s="92"/>
      <c r="I95" s="92"/>
    </row>
    <row r="96" spans="1:9" ht="18" customHeight="1" x14ac:dyDescent="0.25">
      <c r="A96" s="58"/>
      <c r="B96" s="59"/>
      <c r="C96" s="66" t="s">
        <v>35</v>
      </c>
      <c r="D96" s="61" t="s">
        <v>17</v>
      </c>
      <c r="E96" s="62"/>
      <c r="F96" s="116"/>
      <c r="G96" s="219">
        <f t="shared" si="1"/>
        <v>-0.40000000000005365</v>
      </c>
      <c r="H96" s="92"/>
      <c r="I96" s="92"/>
    </row>
    <row r="97" spans="1:9" ht="18" customHeight="1" x14ac:dyDescent="0.25">
      <c r="A97" s="58"/>
      <c r="B97" s="59"/>
      <c r="C97" s="66" t="s">
        <v>35</v>
      </c>
      <c r="D97" s="61" t="s">
        <v>17</v>
      </c>
      <c r="E97" s="62"/>
      <c r="F97" s="116"/>
      <c r="G97" s="219">
        <f t="shared" si="1"/>
        <v>-0.40000000000005365</v>
      </c>
      <c r="H97" s="92"/>
      <c r="I97" s="92"/>
    </row>
    <row r="98" spans="1:9" ht="18" customHeight="1" x14ac:dyDescent="0.25">
      <c r="A98" s="58"/>
      <c r="B98" s="59"/>
      <c r="C98" s="66" t="s">
        <v>35</v>
      </c>
      <c r="D98" s="61" t="s">
        <v>17</v>
      </c>
      <c r="E98" s="62"/>
      <c r="F98" s="116"/>
      <c r="G98" s="219">
        <f t="shared" si="1"/>
        <v>-0.40000000000005365</v>
      </c>
      <c r="H98" s="92"/>
      <c r="I98" s="92"/>
    </row>
    <row r="99" spans="1:9" ht="18" customHeight="1" x14ac:dyDescent="0.25">
      <c r="A99" s="58"/>
      <c r="B99" s="59"/>
      <c r="C99" s="66" t="s">
        <v>35</v>
      </c>
      <c r="D99" s="61" t="s">
        <v>17</v>
      </c>
      <c r="E99" s="62"/>
      <c r="F99" s="116"/>
      <c r="G99" s="219">
        <f t="shared" si="1"/>
        <v>-0.40000000000005365</v>
      </c>
      <c r="H99" s="92"/>
      <c r="I99" s="92"/>
    </row>
    <row r="100" spans="1:9" ht="18" customHeight="1" x14ac:dyDescent="0.25">
      <c r="A100" s="58"/>
      <c r="B100" s="59"/>
      <c r="C100" s="66" t="s">
        <v>35</v>
      </c>
      <c r="D100" s="61" t="s">
        <v>17</v>
      </c>
      <c r="E100" s="62"/>
      <c r="F100" s="116"/>
      <c r="G100" s="219">
        <f t="shared" si="1"/>
        <v>-0.40000000000005365</v>
      </c>
      <c r="H100" s="92"/>
      <c r="I100" s="92"/>
    </row>
    <row r="101" spans="1:9" ht="18" customHeight="1" x14ac:dyDescent="0.25">
      <c r="A101" s="58"/>
      <c r="B101" s="59"/>
      <c r="C101" s="66" t="s">
        <v>35</v>
      </c>
      <c r="D101" s="61" t="s">
        <v>17</v>
      </c>
      <c r="E101" s="62"/>
      <c r="F101" s="116"/>
      <c r="G101" s="219">
        <f t="shared" si="1"/>
        <v>-0.40000000000005365</v>
      </c>
      <c r="H101" s="92"/>
      <c r="I101" s="92"/>
    </row>
    <row r="102" spans="1:9" ht="18" customHeight="1" x14ac:dyDescent="0.25">
      <c r="A102" s="58"/>
      <c r="B102" s="59"/>
      <c r="C102" s="66" t="s">
        <v>35</v>
      </c>
      <c r="D102" s="61" t="s">
        <v>17</v>
      </c>
      <c r="E102" s="62"/>
      <c r="F102" s="116"/>
      <c r="G102" s="219">
        <f t="shared" si="1"/>
        <v>-0.40000000000005365</v>
      </c>
      <c r="H102" s="92"/>
      <c r="I102" s="92"/>
    </row>
    <row r="103" spans="1:9" ht="18" customHeight="1" x14ac:dyDescent="0.25">
      <c r="A103" s="58"/>
      <c r="B103" s="59"/>
      <c r="C103" s="66" t="s">
        <v>35</v>
      </c>
      <c r="D103" s="61" t="s">
        <v>17</v>
      </c>
      <c r="E103" s="62"/>
      <c r="F103" s="116"/>
      <c r="G103" s="219">
        <f t="shared" si="1"/>
        <v>-0.40000000000005365</v>
      </c>
      <c r="H103" s="92"/>
      <c r="I103" s="92"/>
    </row>
    <row r="104" spans="1:9" ht="18" customHeight="1" x14ac:dyDescent="0.25">
      <c r="A104" s="58"/>
      <c r="B104" s="59"/>
      <c r="C104" s="66" t="s">
        <v>35</v>
      </c>
      <c r="D104" s="61" t="s">
        <v>17</v>
      </c>
      <c r="E104" s="62"/>
      <c r="F104" s="116"/>
      <c r="G104" s="219">
        <f t="shared" si="1"/>
        <v>-0.40000000000005365</v>
      </c>
      <c r="H104" s="92"/>
      <c r="I104" s="92"/>
    </row>
    <row r="105" spans="1:9" ht="18" customHeight="1" x14ac:dyDescent="0.25">
      <c r="A105" s="58"/>
      <c r="B105" s="59"/>
      <c r="C105" s="66" t="s">
        <v>35</v>
      </c>
      <c r="D105" s="61" t="s">
        <v>17</v>
      </c>
      <c r="E105" s="62"/>
      <c r="F105" s="116"/>
      <c r="G105" s="219">
        <f t="shared" si="1"/>
        <v>-0.40000000000005365</v>
      </c>
      <c r="H105" s="92"/>
      <c r="I105" s="92"/>
    </row>
    <row r="106" spans="1:9" ht="18" customHeight="1" x14ac:dyDescent="0.25">
      <c r="A106" s="58"/>
      <c r="B106" s="59"/>
      <c r="C106" s="66" t="s">
        <v>35</v>
      </c>
      <c r="D106" s="61" t="s">
        <v>17</v>
      </c>
      <c r="E106" s="62"/>
      <c r="F106" s="116"/>
      <c r="G106" s="219">
        <f t="shared" si="1"/>
        <v>-0.40000000000005365</v>
      </c>
      <c r="H106" s="92"/>
      <c r="I106" s="95"/>
    </row>
    <row r="107" spans="1:9" ht="18" customHeight="1" x14ac:dyDescent="0.25">
      <c r="A107" s="58"/>
      <c r="B107" s="59"/>
      <c r="C107" s="66" t="s">
        <v>35</v>
      </c>
      <c r="D107" s="61" t="s">
        <v>17</v>
      </c>
      <c r="E107" s="62"/>
      <c r="F107" s="116"/>
      <c r="G107" s="219">
        <f t="shared" si="1"/>
        <v>-0.40000000000005365</v>
      </c>
      <c r="H107" s="92"/>
      <c r="I107" s="95"/>
    </row>
    <row r="108" spans="1:9" ht="18" customHeight="1" x14ac:dyDescent="0.25">
      <c r="A108" s="58"/>
      <c r="B108" s="59"/>
      <c r="C108" s="66" t="s">
        <v>35</v>
      </c>
      <c r="D108" s="61" t="s">
        <v>17</v>
      </c>
      <c r="E108" s="62"/>
      <c r="F108" s="116"/>
      <c r="G108" s="219">
        <f t="shared" si="1"/>
        <v>-0.40000000000005365</v>
      </c>
      <c r="H108" s="92"/>
      <c r="I108" s="95"/>
    </row>
    <row r="109" spans="1:9" ht="18" customHeight="1" x14ac:dyDescent="0.25">
      <c r="A109" s="58"/>
      <c r="B109" s="59"/>
      <c r="C109" s="66" t="s">
        <v>35</v>
      </c>
      <c r="D109" s="61" t="s">
        <v>17</v>
      </c>
      <c r="E109" s="62"/>
      <c r="F109" s="116"/>
      <c r="G109" s="219">
        <f t="shared" si="1"/>
        <v>-0.40000000000005365</v>
      </c>
      <c r="H109" s="92"/>
      <c r="I109" s="95"/>
    </row>
    <row r="110" spans="1:9" ht="18" customHeight="1" x14ac:dyDescent="0.25">
      <c r="A110" s="58"/>
      <c r="B110" s="59"/>
      <c r="C110" s="66" t="s">
        <v>35</v>
      </c>
      <c r="D110" s="61" t="s">
        <v>17</v>
      </c>
      <c r="E110" s="62"/>
      <c r="F110" s="116"/>
      <c r="G110" s="219">
        <f t="shared" si="1"/>
        <v>-0.40000000000005365</v>
      </c>
      <c r="H110" s="92"/>
      <c r="I110" s="95"/>
    </row>
    <row r="111" spans="1:9" ht="18" customHeight="1" x14ac:dyDescent="0.25">
      <c r="A111" s="58"/>
      <c r="B111" s="59"/>
      <c r="C111" s="66" t="s">
        <v>35</v>
      </c>
      <c r="D111" s="61" t="s">
        <v>17</v>
      </c>
      <c r="E111" s="62"/>
      <c r="F111" s="116"/>
      <c r="G111" s="219">
        <f t="shared" si="1"/>
        <v>-0.40000000000005365</v>
      </c>
      <c r="H111" s="92"/>
      <c r="I111" s="95"/>
    </row>
    <row r="112" spans="1:9" ht="18" customHeight="1" x14ac:dyDescent="0.25">
      <c r="A112" s="58"/>
      <c r="B112" s="59"/>
      <c r="C112" s="66" t="s">
        <v>35</v>
      </c>
      <c r="D112" s="61" t="s">
        <v>17</v>
      </c>
      <c r="E112" s="62"/>
      <c r="F112" s="116"/>
      <c r="G112" s="219">
        <f t="shared" si="1"/>
        <v>-0.40000000000005365</v>
      </c>
      <c r="H112" s="92"/>
      <c r="I112" s="95"/>
    </row>
    <row r="113" spans="1:9" ht="18" customHeight="1" x14ac:dyDescent="0.25">
      <c r="A113" s="58"/>
      <c r="B113" s="59"/>
      <c r="C113" s="66" t="s">
        <v>35</v>
      </c>
      <c r="D113" s="61" t="s">
        <v>17</v>
      </c>
      <c r="E113" s="62"/>
      <c r="F113" s="116"/>
      <c r="G113" s="219">
        <f t="shared" si="1"/>
        <v>-0.40000000000005365</v>
      </c>
      <c r="H113" s="92"/>
      <c r="I113" s="95"/>
    </row>
    <row r="114" spans="1:9" ht="18" customHeight="1" x14ac:dyDescent="0.25">
      <c r="A114" s="58"/>
      <c r="B114" s="59"/>
      <c r="C114" s="66" t="s">
        <v>35</v>
      </c>
      <c r="D114" s="61" t="s">
        <v>17</v>
      </c>
      <c r="E114" s="62"/>
      <c r="F114" s="116"/>
      <c r="G114" s="219">
        <f t="shared" si="1"/>
        <v>-0.40000000000005365</v>
      </c>
      <c r="H114" s="92"/>
      <c r="I114" s="95"/>
    </row>
    <row r="115" spans="1:9" ht="18" customHeight="1" x14ac:dyDescent="0.25">
      <c r="A115" s="58"/>
      <c r="B115" s="59"/>
      <c r="C115" s="66" t="s">
        <v>35</v>
      </c>
      <c r="D115" s="61" t="s">
        <v>17</v>
      </c>
      <c r="E115" s="62"/>
      <c r="F115" s="116"/>
      <c r="G115" s="219">
        <f t="shared" si="1"/>
        <v>-0.40000000000005365</v>
      </c>
      <c r="H115" s="92"/>
      <c r="I115" s="95"/>
    </row>
    <row r="116" spans="1:9" ht="18" customHeight="1" x14ac:dyDescent="0.25">
      <c r="A116" s="58"/>
      <c r="B116" s="59"/>
      <c r="C116" s="66" t="s">
        <v>35</v>
      </c>
      <c r="D116" s="61" t="s">
        <v>17</v>
      </c>
      <c r="E116" s="62"/>
      <c r="F116" s="116"/>
      <c r="G116" s="219">
        <f t="shared" si="1"/>
        <v>-0.40000000000005365</v>
      </c>
      <c r="H116" s="92"/>
      <c r="I116" s="95"/>
    </row>
    <row r="117" spans="1:9" ht="18" customHeight="1" x14ac:dyDescent="0.25">
      <c r="A117" s="58"/>
      <c r="B117" s="59"/>
      <c r="C117" s="66" t="s">
        <v>35</v>
      </c>
      <c r="D117" s="61" t="s">
        <v>17</v>
      </c>
      <c r="E117" s="62"/>
      <c r="F117" s="116"/>
      <c r="G117" s="219">
        <f t="shared" si="1"/>
        <v>-0.40000000000005365</v>
      </c>
      <c r="H117" s="92"/>
      <c r="I117" s="95"/>
    </row>
    <row r="118" spans="1:9" ht="18" customHeight="1" x14ac:dyDescent="0.25">
      <c r="A118" s="58"/>
      <c r="B118" s="59"/>
      <c r="C118" s="66" t="s">
        <v>35</v>
      </c>
      <c r="D118" s="61" t="s">
        <v>17</v>
      </c>
      <c r="E118" s="62"/>
      <c r="F118" s="116"/>
      <c r="G118" s="219">
        <f t="shared" si="1"/>
        <v>-0.40000000000005365</v>
      </c>
      <c r="H118" s="92"/>
      <c r="I118" s="95"/>
    </row>
    <row r="119" spans="1:9" ht="18" customHeight="1" x14ac:dyDescent="0.25">
      <c r="A119" s="58"/>
      <c r="B119" s="59"/>
      <c r="C119" s="66" t="s">
        <v>35</v>
      </c>
      <c r="D119" s="61" t="s">
        <v>17</v>
      </c>
      <c r="E119" s="62"/>
      <c r="F119" s="116"/>
      <c r="G119" s="219">
        <f t="shared" si="1"/>
        <v>-0.40000000000005365</v>
      </c>
      <c r="H119" s="92"/>
      <c r="I119" s="95"/>
    </row>
    <row r="120" spans="1:9" ht="18" customHeight="1" x14ac:dyDescent="0.25">
      <c r="A120" s="58"/>
      <c r="B120" s="59"/>
      <c r="C120" s="66" t="s">
        <v>35</v>
      </c>
      <c r="D120" s="61" t="s">
        <v>17</v>
      </c>
      <c r="E120" s="62"/>
      <c r="F120" s="116"/>
      <c r="G120" s="219">
        <f t="shared" si="1"/>
        <v>-0.40000000000005365</v>
      </c>
      <c r="H120" s="92"/>
      <c r="I120" s="95"/>
    </row>
    <row r="121" spans="1:9" ht="18" customHeight="1" x14ac:dyDescent="0.25">
      <c r="A121" s="58"/>
      <c r="B121" s="59"/>
      <c r="C121" s="66" t="s">
        <v>35</v>
      </c>
      <c r="D121" s="61" t="s">
        <v>17</v>
      </c>
      <c r="E121" s="62"/>
      <c r="F121" s="116"/>
      <c r="G121" s="219">
        <f t="shared" si="1"/>
        <v>-0.40000000000005365</v>
      </c>
      <c r="H121" s="92"/>
      <c r="I121" s="95"/>
    </row>
    <row r="122" spans="1:9" ht="18" customHeight="1" x14ac:dyDescent="0.25">
      <c r="A122" s="58"/>
      <c r="B122" s="59"/>
      <c r="C122" s="66" t="s">
        <v>35</v>
      </c>
      <c r="D122" s="61" t="s">
        <v>17</v>
      </c>
      <c r="E122" s="62"/>
      <c r="F122" s="116"/>
      <c r="G122" s="219">
        <f t="shared" si="1"/>
        <v>-0.40000000000005365</v>
      </c>
      <c r="H122" s="92"/>
      <c r="I122" s="95"/>
    </row>
    <row r="123" spans="1:9" ht="18" customHeight="1" x14ac:dyDescent="0.25">
      <c r="A123" s="58"/>
      <c r="B123" s="59"/>
      <c r="C123" s="66" t="s">
        <v>35</v>
      </c>
      <c r="D123" s="61" t="s">
        <v>17</v>
      </c>
      <c r="E123" s="62"/>
      <c r="F123" s="116"/>
      <c r="G123" s="219">
        <f t="shared" si="1"/>
        <v>-0.40000000000005365</v>
      </c>
      <c r="H123" s="92"/>
      <c r="I123" s="95"/>
    </row>
    <row r="124" spans="1:9" ht="18" customHeight="1" x14ac:dyDescent="0.25">
      <c r="A124" s="58"/>
      <c r="B124" s="59"/>
      <c r="C124" s="66" t="s">
        <v>35</v>
      </c>
      <c r="D124" s="61" t="s">
        <v>17</v>
      </c>
      <c r="E124" s="62"/>
      <c r="F124" s="116"/>
      <c r="G124" s="219">
        <f t="shared" si="1"/>
        <v>-0.40000000000005365</v>
      </c>
      <c r="H124" s="92"/>
      <c r="I124" s="95"/>
    </row>
    <row r="125" spans="1:9" ht="18" customHeight="1" x14ac:dyDescent="0.25">
      <c r="A125" s="58"/>
      <c r="B125" s="59"/>
      <c r="C125" s="66" t="s">
        <v>35</v>
      </c>
      <c r="D125" s="61" t="s">
        <v>17</v>
      </c>
      <c r="E125" s="62"/>
      <c r="F125" s="116"/>
      <c r="G125" s="219">
        <f t="shared" si="1"/>
        <v>-0.40000000000005365</v>
      </c>
      <c r="H125" s="92"/>
      <c r="I125" s="95"/>
    </row>
    <row r="126" spans="1:9" ht="18" customHeight="1" x14ac:dyDescent="0.25">
      <c r="A126" s="58"/>
      <c r="B126" s="59"/>
      <c r="C126" s="66" t="s">
        <v>35</v>
      </c>
      <c r="D126" s="61" t="s">
        <v>17</v>
      </c>
      <c r="E126" s="62"/>
      <c r="F126" s="116"/>
      <c r="G126" s="219">
        <f t="shared" si="1"/>
        <v>-0.40000000000005365</v>
      </c>
      <c r="H126" s="92"/>
      <c r="I126" s="95"/>
    </row>
    <row r="127" spans="1:9" ht="18" customHeight="1" x14ac:dyDescent="0.25">
      <c r="A127" s="58"/>
      <c r="B127" s="59"/>
      <c r="C127" s="66" t="s">
        <v>35</v>
      </c>
      <c r="D127" s="61" t="s">
        <v>17</v>
      </c>
      <c r="E127" s="62"/>
      <c r="F127" s="116"/>
      <c r="G127" s="219">
        <f t="shared" si="1"/>
        <v>-0.40000000000005365</v>
      </c>
      <c r="H127" s="92"/>
      <c r="I127" s="95"/>
    </row>
    <row r="128" spans="1:9" ht="18" customHeight="1" x14ac:dyDescent="0.25">
      <c r="A128" s="58"/>
      <c r="B128" s="59"/>
      <c r="C128" s="66" t="s">
        <v>35</v>
      </c>
      <c r="D128" s="61" t="s">
        <v>17</v>
      </c>
      <c r="E128" s="62"/>
      <c r="F128" s="116"/>
      <c r="G128" s="219">
        <f t="shared" si="1"/>
        <v>-0.40000000000005365</v>
      </c>
      <c r="H128" s="92"/>
      <c r="I128" s="95"/>
    </row>
    <row r="129" spans="1:9" ht="18" customHeight="1" x14ac:dyDescent="0.25">
      <c r="A129" s="58"/>
      <c r="B129" s="59"/>
      <c r="C129" s="66" t="s">
        <v>35</v>
      </c>
      <c r="D129" s="61" t="s">
        <v>17</v>
      </c>
      <c r="E129" s="62"/>
      <c r="F129" s="116"/>
      <c r="G129" s="219">
        <f t="shared" si="1"/>
        <v>-0.40000000000005365</v>
      </c>
      <c r="H129" s="92"/>
      <c r="I129" s="95"/>
    </row>
    <row r="130" spans="1:9" ht="18" customHeight="1" x14ac:dyDescent="0.25">
      <c r="A130" s="58"/>
      <c r="B130" s="59"/>
      <c r="C130" s="66" t="s">
        <v>35</v>
      </c>
      <c r="D130" s="61" t="s">
        <v>17</v>
      </c>
      <c r="E130" s="62"/>
      <c r="F130" s="116"/>
      <c r="G130" s="219">
        <f t="shared" si="1"/>
        <v>-0.40000000000005365</v>
      </c>
      <c r="H130" s="92"/>
      <c r="I130" s="95"/>
    </row>
    <row r="131" spans="1:9" ht="18" customHeight="1" x14ac:dyDescent="0.25">
      <c r="A131" s="58"/>
      <c r="B131" s="59"/>
      <c r="C131" s="66" t="s">
        <v>35</v>
      </c>
      <c r="D131" s="61" t="s">
        <v>17</v>
      </c>
      <c r="E131" s="62"/>
      <c r="F131" s="116"/>
      <c r="G131" s="219">
        <f t="shared" si="1"/>
        <v>-0.40000000000005365</v>
      </c>
      <c r="H131" s="92"/>
      <c r="I131" s="95"/>
    </row>
    <row r="132" spans="1:9" ht="18" customHeight="1" x14ac:dyDescent="0.25">
      <c r="A132" s="58"/>
      <c r="B132" s="59"/>
      <c r="C132" s="66" t="s">
        <v>35</v>
      </c>
      <c r="D132" s="61" t="s">
        <v>17</v>
      </c>
      <c r="E132" s="62"/>
      <c r="F132" s="116"/>
      <c r="G132" s="219">
        <f t="shared" si="1"/>
        <v>-0.40000000000005365</v>
      </c>
      <c r="H132" s="92"/>
      <c r="I132" s="95"/>
    </row>
    <row r="133" spans="1:9" ht="18" customHeight="1" x14ac:dyDescent="0.25">
      <c r="A133" s="58"/>
      <c r="B133" s="59"/>
      <c r="C133" s="66" t="s">
        <v>35</v>
      </c>
      <c r="D133" s="61" t="s">
        <v>17</v>
      </c>
      <c r="E133" s="62"/>
      <c r="F133" s="116"/>
      <c r="G133" s="219">
        <f t="shared" si="1"/>
        <v>-0.40000000000005365</v>
      </c>
      <c r="H133" s="92"/>
      <c r="I133" s="95"/>
    </row>
    <row r="134" spans="1:9" ht="18" customHeight="1" x14ac:dyDescent="0.25">
      <c r="A134" s="58"/>
      <c r="B134" s="59"/>
      <c r="C134" s="66" t="s">
        <v>35</v>
      </c>
      <c r="D134" s="61" t="s">
        <v>17</v>
      </c>
      <c r="E134" s="62"/>
      <c r="F134" s="116"/>
      <c r="G134" s="219">
        <f t="shared" si="1"/>
        <v>-0.40000000000005365</v>
      </c>
      <c r="H134" s="92"/>
      <c r="I134" s="95"/>
    </row>
    <row r="135" spans="1:9" ht="18" customHeight="1" x14ac:dyDescent="0.25">
      <c r="A135" s="58"/>
      <c r="B135" s="59"/>
      <c r="C135" s="66" t="s">
        <v>35</v>
      </c>
      <c r="D135" s="61" t="s">
        <v>17</v>
      </c>
      <c r="E135" s="62"/>
      <c r="F135" s="116"/>
      <c r="G135" s="219">
        <f t="shared" si="1"/>
        <v>-0.40000000000005365</v>
      </c>
      <c r="H135" s="92"/>
      <c r="I135" s="95"/>
    </row>
    <row r="136" spans="1:9" ht="18" customHeight="1" x14ac:dyDescent="0.25">
      <c r="A136" s="58"/>
      <c r="B136" s="59"/>
      <c r="C136" s="66" t="s">
        <v>35</v>
      </c>
      <c r="D136" s="61" t="s">
        <v>17</v>
      </c>
      <c r="E136" s="62"/>
      <c r="F136" s="116"/>
      <c r="G136" s="219">
        <f t="shared" si="1"/>
        <v>-0.40000000000005365</v>
      </c>
      <c r="H136" s="92"/>
      <c r="I136" s="95"/>
    </row>
    <row r="137" spans="1:9" ht="18" customHeight="1" x14ac:dyDescent="0.25">
      <c r="A137" s="58"/>
      <c r="B137" s="59"/>
      <c r="C137" s="66" t="s">
        <v>35</v>
      </c>
      <c r="D137" s="61" t="s">
        <v>17</v>
      </c>
      <c r="E137" s="62"/>
      <c r="F137" s="116"/>
      <c r="G137" s="219">
        <f t="shared" si="1"/>
        <v>-0.40000000000005365</v>
      </c>
      <c r="H137" s="92"/>
      <c r="I137" s="95"/>
    </row>
    <row r="138" spans="1:9" ht="18" customHeight="1" x14ac:dyDescent="0.25">
      <c r="A138" s="58"/>
      <c r="B138" s="59"/>
      <c r="C138" s="66" t="s">
        <v>35</v>
      </c>
      <c r="D138" s="61" t="s">
        <v>17</v>
      </c>
      <c r="E138" s="62"/>
      <c r="F138" s="116"/>
      <c r="G138" s="219">
        <f t="shared" si="1"/>
        <v>-0.40000000000005365</v>
      </c>
      <c r="H138" s="92"/>
      <c r="I138" s="95"/>
    </row>
    <row r="139" spans="1:9" ht="18" customHeight="1" x14ac:dyDescent="0.25">
      <c r="A139" s="58"/>
      <c r="B139" s="59"/>
      <c r="C139" s="66" t="s">
        <v>35</v>
      </c>
      <c r="D139" s="61" t="s">
        <v>17</v>
      </c>
      <c r="E139" s="62"/>
      <c r="F139" s="116"/>
      <c r="G139" s="219">
        <f t="shared" si="1"/>
        <v>-0.40000000000005365</v>
      </c>
      <c r="H139" s="92"/>
      <c r="I139" s="95"/>
    </row>
    <row r="140" spans="1:9" ht="18" customHeight="1" x14ac:dyDescent="0.25">
      <c r="A140" s="58"/>
      <c r="B140" s="59"/>
      <c r="C140" s="66" t="s">
        <v>35</v>
      </c>
      <c r="D140" s="61" t="s">
        <v>17</v>
      </c>
      <c r="E140" s="62"/>
      <c r="F140" s="116"/>
      <c r="G140" s="219">
        <f t="shared" si="1"/>
        <v>-0.40000000000005365</v>
      </c>
      <c r="H140" s="92"/>
      <c r="I140" s="95"/>
    </row>
    <row r="141" spans="1:9" ht="18" customHeight="1" x14ac:dyDescent="0.25">
      <c r="A141" s="58"/>
      <c r="B141" s="59"/>
      <c r="C141" s="66" t="s">
        <v>35</v>
      </c>
      <c r="D141" s="61" t="s">
        <v>17</v>
      </c>
      <c r="E141" s="62"/>
      <c r="F141" s="116"/>
      <c r="G141" s="219">
        <f t="shared" si="1"/>
        <v>-0.40000000000005365</v>
      </c>
      <c r="H141" s="92"/>
      <c r="I141" s="95"/>
    </row>
    <row r="142" spans="1:9" ht="18" customHeight="1" x14ac:dyDescent="0.25">
      <c r="A142" s="58"/>
      <c r="B142" s="59"/>
      <c r="C142" s="66" t="s">
        <v>35</v>
      </c>
      <c r="D142" s="61" t="s">
        <v>17</v>
      </c>
      <c r="E142" s="62"/>
      <c r="F142" s="116"/>
      <c r="G142" s="219">
        <f t="shared" si="1"/>
        <v>-0.40000000000005365</v>
      </c>
      <c r="H142" s="92"/>
      <c r="I142" s="95"/>
    </row>
    <row r="143" spans="1:9" ht="18" customHeight="1" x14ac:dyDescent="0.25">
      <c r="A143" s="58"/>
      <c r="B143" s="59"/>
      <c r="C143" s="66" t="s">
        <v>35</v>
      </c>
      <c r="D143" s="65" t="s">
        <v>17</v>
      </c>
      <c r="E143" s="62"/>
      <c r="F143" s="116"/>
      <c r="G143" s="219">
        <f t="shared" si="1"/>
        <v>-0.40000000000005365</v>
      </c>
      <c r="H143" s="92"/>
      <c r="I143" s="95"/>
    </row>
    <row r="144" spans="1:9" ht="18" customHeight="1" x14ac:dyDescent="0.25">
      <c r="A144" s="58"/>
      <c r="B144" s="59"/>
      <c r="C144" s="66" t="s">
        <v>35</v>
      </c>
      <c r="D144" s="65" t="s">
        <v>17</v>
      </c>
      <c r="E144" s="62"/>
      <c r="F144" s="116"/>
      <c r="G144" s="219">
        <f t="shared" si="1"/>
        <v>-0.40000000000005365</v>
      </c>
      <c r="H144" s="92"/>
      <c r="I144" s="95"/>
    </row>
    <row r="145" spans="1:9" ht="18" customHeight="1" x14ac:dyDescent="0.25">
      <c r="A145" s="58"/>
      <c r="B145" s="59"/>
      <c r="C145" s="66" t="s">
        <v>35</v>
      </c>
      <c r="D145" s="65" t="s">
        <v>17</v>
      </c>
      <c r="E145" s="62"/>
      <c r="F145" s="116"/>
      <c r="G145" s="219">
        <f t="shared" ref="G145:G159" si="2">+G144+E145-F145</f>
        <v>-0.40000000000005365</v>
      </c>
      <c r="H145" s="92"/>
      <c r="I145" s="95"/>
    </row>
    <row r="146" spans="1:9" ht="18" customHeight="1" x14ac:dyDescent="0.25">
      <c r="A146" s="58"/>
      <c r="B146" s="59"/>
      <c r="C146" s="66" t="s">
        <v>35</v>
      </c>
      <c r="D146" s="65" t="s">
        <v>17</v>
      </c>
      <c r="E146" s="62"/>
      <c r="F146" s="116"/>
      <c r="G146" s="219">
        <f t="shared" si="2"/>
        <v>-0.40000000000005365</v>
      </c>
      <c r="H146" s="92"/>
      <c r="I146" s="95"/>
    </row>
    <row r="147" spans="1:9" ht="18" customHeight="1" x14ac:dyDescent="0.25">
      <c r="A147" s="58"/>
      <c r="B147" s="59"/>
      <c r="C147" s="66" t="s">
        <v>35</v>
      </c>
      <c r="D147" s="65" t="s">
        <v>17</v>
      </c>
      <c r="E147" s="62"/>
      <c r="F147" s="116"/>
      <c r="G147" s="219">
        <f t="shared" si="2"/>
        <v>-0.40000000000005365</v>
      </c>
      <c r="H147" s="92"/>
      <c r="I147" s="95"/>
    </row>
    <row r="148" spans="1:9" ht="18" customHeight="1" x14ac:dyDescent="0.25">
      <c r="A148" s="58"/>
      <c r="B148" s="59"/>
      <c r="C148" s="66" t="s">
        <v>35</v>
      </c>
      <c r="D148" s="65" t="s">
        <v>17</v>
      </c>
      <c r="E148" s="62"/>
      <c r="F148" s="116"/>
      <c r="G148" s="219">
        <f t="shared" si="2"/>
        <v>-0.40000000000005365</v>
      </c>
      <c r="H148" s="92"/>
      <c r="I148" s="95"/>
    </row>
    <row r="149" spans="1:9" ht="18" customHeight="1" x14ac:dyDescent="0.25">
      <c r="A149" s="58"/>
      <c r="B149" s="59"/>
      <c r="C149" s="66" t="s">
        <v>35</v>
      </c>
      <c r="D149" s="65" t="s">
        <v>17</v>
      </c>
      <c r="E149" s="62"/>
      <c r="F149" s="116"/>
      <c r="G149" s="219">
        <f t="shared" si="2"/>
        <v>-0.40000000000005365</v>
      </c>
      <c r="H149" s="92"/>
      <c r="I149" s="95"/>
    </row>
    <row r="150" spans="1:9" ht="18" customHeight="1" x14ac:dyDescent="0.25">
      <c r="A150" s="58"/>
      <c r="B150" s="59"/>
      <c r="C150" s="66" t="s">
        <v>35</v>
      </c>
      <c r="D150" s="65" t="s">
        <v>17</v>
      </c>
      <c r="E150" s="62"/>
      <c r="F150" s="116"/>
      <c r="G150" s="219">
        <f t="shared" si="2"/>
        <v>-0.40000000000005365</v>
      </c>
      <c r="H150" s="92"/>
      <c r="I150" s="95"/>
    </row>
    <row r="151" spans="1:9" ht="18" customHeight="1" x14ac:dyDescent="0.25">
      <c r="A151" s="58"/>
      <c r="B151" s="59"/>
      <c r="C151" s="66" t="s">
        <v>35</v>
      </c>
      <c r="D151" s="65" t="s">
        <v>17</v>
      </c>
      <c r="E151" s="62"/>
      <c r="F151" s="116"/>
      <c r="G151" s="219">
        <f t="shared" si="2"/>
        <v>-0.40000000000005365</v>
      </c>
      <c r="H151" s="92"/>
      <c r="I151" s="95"/>
    </row>
    <row r="152" spans="1:9" ht="18" customHeight="1" x14ac:dyDescent="0.25">
      <c r="A152" s="58"/>
      <c r="B152" s="59"/>
      <c r="C152" s="66" t="s">
        <v>35</v>
      </c>
      <c r="D152" s="65" t="s">
        <v>17</v>
      </c>
      <c r="E152" s="62"/>
      <c r="F152" s="116"/>
      <c r="G152" s="219">
        <f t="shared" si="2"/>
        <v>-0.40000000000005365</v>
      </c>
      <c r="H152" s="92"/>
      <c r="I152" s="95"/>
    </row>
    <row r="153" spans="1:9" ht="18" customHeight="1" x14ac:dyDescent="0.25">
      <c r="A153" s="58"/>
      <c r="B153" s="59"/>
      <c r="C153" s="66" t="s">
        <v>35</v>
      </c>
      <c r="D153" s="65" t="s">
        <v>17</v>
      </c>
      <c r="E153" s="62"/>
      <c r="F153" s="116"/>
      <c r="G153" s="219">
        <f t="shared" si="2"/>
        <v>-0.40000000000005365</v>
      </c>
      <c r="H153" s="92"/>
      <c r="I153" s="95"/>
    </row>
    <row r="154" spans="1:9" ht="18" customHeight="1" x14ac:dyDescent="0.25">
      <c r="A154" s="58"/>
      <c r="B154" s="59"/>
      <c r="C154" s="66" t="s">
        <v>35</v>
      </c>
      <c r="D154" s="65" t="s">
        <v>17</v>
      </c>
      <c r="E154" s="62"/>
      <c r="F154" s="116"/>
      <c r="G154" s="219">
        <f t="shared" si="2"/>
        <v>-0.40000000000005365</v>
      </c>
      <c r="H154" s="92"/>
      <c r="I154" s="95"/>
    </row>
    <row r="155" spans="1:9" ht="18" customHeight="1" x14ac:dyDescent="0.25">
      <c r="A155" s="58"/>
      <c r="B155" s="59"/>
      <c r="C155" s="66" t="s">
        <v>35</v>
      </c>
      <c r="D155" s="65" t="s">
        <v>17</v>
      </c>
      <c r="E155" s="62"/>
      <c r="F155" s="116"/>
      <c r="G155" s="219">
        <f t="shared" si="2"/>
        <v>-0.40000000000005365</v>
      </c>
      <c r="H155" s="92"/>
      <c r="I155" s="95"/>
    </row>
    <row r="156" spans="1:9" ht="18" customHeight="1" x14ac:dyDescent="0.25">
      <c r="A156" s="58"/>
      <c r="B156" s="59"/>
      <c r="C156" s="66" t="s">
        <v>35</v>
      </c>
      <c r="D156" s="65" t="s">
        <v>17</v>
      </c>
      <c r="E156" s="62"/>
      <c r="F156" s="116"/>
      <c r="G156" s="219">
        <f t="shared" si="2"/>
        <v>-0.40000000000005365</v>
      </c>
      <c r="H156" s="92"/>
      <c r="I156" s="95"/>
    </row>
    <row r="157" spans="1:9" ht="18" customHeight="1" x14ac:dyDescent="0.25">
      <c r="A157" s="58"/>
      <c r="B157" s="59"/>
      <c r="C157" s="66"/>
      <c r="D157" s="65" t="s">
        <v>17</v>
      </c>
      <c r="E157" s="62"/>
      <c r="F157" s="116"/>
      <c r="G157" s="219">
        <f t="shared" si="2"/>
        <v>-0.40000000000005365</v>
      </c>
      <c r="H157" s="100"/>
      <c r="I157" s="95"/>
    </row>
    <row r="158" spans="1:9" x14ac:dyDescent="0.25">
      <c r="A158" s="65"/>
      <c r="B158" s="59"/>
      <c r="C158" s="101"/>
      <c r="D158" s="65" t="s">
        <v>17</v>
      </c>
      <c r="E158" s="123"/>
      <c r="F158" s="117"/>
      <c r="G158" s="219">
        <f t="shared" si="2"/>
        <v>-0.40000000000005365</v>
      </c>
      <c r="H158" s="102"/>
      <c r="I158" s="82"/>
    </row>
    <row r="159" spans="1:9" x14ac:dyDescent="0.25">
      <c r="A159" s="65"/>
      <c r="B159" s="73"/>
      <c r="C159" s="58"/>
      <c r="D159" s="65" t="s">
        <v>17</v>
      </c>
      <c r="E159" s="124"/>
      <c r="F159" s="118"/>
      <c r="G159" s="219">
        <f t="shared" si="2"/>
        <v>-0.40000000000005365</v>
      </c>
      <c r="H159" s="103"/>
      <c r="I159" s="82"/>
    </row>
    <row r="160" spans="1:9" x14ac:dyDescent="0.25">
      <c r="A160" s="58"/>
      <c r="B160" s="58"/>
      <c r="C160" s="77" t="s">
        <v>13</v>
      </c>
      <c r="D160" s="65"/>
      <c r="E160" s="119">
        <f>SUM(E9:E159)</f>
        <v>297.60000000000002</v>
      </c>
      <c r="F160" s="119">
        <f>SUM(F9:F159)</f>
        <v>298</v>
      </c>
      <c r="G160" s="132">
        <f>E160-F160+G8</f>
        <v>-0.39999999999997726</v>
      </c>
      <c r="H160" s="104"/>
      <c r="I160" s="105"/>
    </row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9E67-9EB3-400C-BE91-21041CF91A1C}">
  <sheetPr codeName="Sheet22"/>
  <dimension ref="A1:K151"/>
  <sheetViews>
    <sheetView workbookViewId="0">
      <selection activeCell="M22" sqref="M22"/>
    </sheetView>
  </sheetViews>
  <sheetFormatPr defaultRowHeight="15.75" x14ac:dyDescent="0.25"/>
  <cols>
    <col min="1" max="1" width="6" style="55" customWidth="1"/>
    <col min="2" max="2" width="11.5703125" style="55" customWidth="1"/>
    <col min="3" max="3" width="39.42578125" style="55" customWidth="1"/>
    <col min="4" max="4" width="6.140625" style="80" customWidth="1"/>
    <col min="5" max="5" width="12.28515625" style="120" customWidth="1"/>
    <col min="6" max="6" width="12.28515625" style="113" customWidth="1"/>
    <col min="7" max="7" width="12.28515625" style="111" customWidth="1"/>
    <col min="8" max="8" width="17.5703125" style="81" customWidth="1"/>
    <col min="9" max="9" width="16.28515625" style="81" customWidth="1"/>
    <col min="10" max="256" width="9" style="55"/>
    <col min="257" max="257" width="6" style="55" customWidth="1"/>
    <col min="258" max="258" width="11.5703125" style="55" customWidth="1"/>
    <col min="259" max="259" width="45.42578125" style="55" customWidth="1"/>
    <col min="260" max="260" width="6.140625" style="55" customWidth="1"/>
    <col min="261" max="263" width="12.28515625" style="55" customWidth="1"/>
    <col min="264" max="264" width="15.140625" style="55" customWidth="1"/>
    <col min="265" max="265" width="15" style="55" customWidth="1"/>
    <col min="266" max="512" width="9" style="55"/>
    <col min="513" max="513" width="6" style="55" customWidth="1"/>
    <col min="514" max="514" width="11.5703125" style="55" customWidth="1"/>
    <col min="515" max="515" width="45.42578125" style="55" customWidth="1"/>
    <col min="516" max="516" width="6.140625" style="55" customWidth="1"/>
    <col min="517" max="519" width="12.28515625" style="55" customWidth="1"/>
    <col min="520" max="520" width="15.140625" style="55" customWidth="1"/>
    <col min="521" max="521" width="15" style="55" customWidth="1"/>
    <col min="522" max="768" width="9" style="55"/>
    <col min="769" max="769" width="6" style="55" customWidth="1"/>
    <col min="770" max="770" width="11.5703125" style="55" customWidth="1"/>
    <col min="771" max="771" width="45.42578125" style="55" customWidth="1"/>
    <col min="772" max="772" width="6.140625" style="55" customWidth="1"/>
    <col min="773" max="775" width="12.28515625" style="55" customWidth="1"/>
    <col min="776" max="776" width="15.140625" style="55" customWidth="1"/>
    <col min="777" max="777" width="15" style="55" customWidth="1"/>
    <col min="778" max="1024" width="9" style="55"/>
    <col min="1025" max="1025" width="6" style="55" customWidth="1"/>
    <col min="1026" max="1026" width="11.5703125" style="55" customWidth="1"/>
    <col min="1027" max="1027" width="45.42578125" style="55" customWidth="1"/>
    <col min="1028" max="1028" width="6.140625" style="55" customWidth="1"/>
    <col min="1029" max="1031" width="12.28515625" style="55" customWidth="1"/>
    <col min="1032" max="1032" width="15.140625" style="55" customWidth="1"/>
    <col min="1033" max="1033" width="15" style="55" customWidth="1"/>
    <col min="1034" max="1280" width="9" style="55"/>
    <col min="1281" max="1281" width="6" style="55" customWidth="1"/>
    <col min="1282" max="1282" width="11.5703125" style="55" customWidth="1"/>
    <col min="1283" max="1283" width="45.42578125" style="55" customWidth="1"/>
    <col min="1284" max="1284" width="6.140625" style="55" customWidth="1"/>
    <col min="1285" max="1287" width="12.28515625" style="55" customWidth="1"/>
    <col min="1288" max="1288" width="15.140625" style="55" customWidth="1"/>
    <col min="1289" max="1289" width="15" style="55" customWidth="1"/>
    <col min="1290" max="1536" width="9" style="55"/>
    <col min="1537" max="1537" width="6" style="55" customWidth="1"/>
    <col min="1538" max="1538" width="11.5703125" style="55" customWidth="1"/>
    <col min="1539" max="1539" width="45.42578125" style="55" customWidth="1"/>
    <col min="1540" max="1540" width="6.140625" style="55" customWidth="1"/>
    <col min="1541" max="1543" width="12.28515625" style="55" customWidth="1"/>
    <col min="1544" max="1544" width="15.140625" style="55" customWidth="1"/>
    <col min="1545" max="1545" width="15" style="55" customWidth="1"/>
    <col min="1546" max="1792" width="9" style="55"/>
    <col min="1793" max="1793" width="6" style="55" customWidth="1"/>
    <col min="1794" max="1794" width="11.5703125" style="55" customWidth="1"/>
    <col min="1795" max="1795" width="45.42578125" style="55" customWidth="1"/>
    <col min="1796" max="1796" width="6.140625" style="55" customWidth="1"/>
    <col min="1797" max="1799" width="12.28515625" style="55" customWidth="1"/>
    <col min="1800" max="1800" width="15.140625" style="55" customWidth="1"/>
    <col min="1801" max="1801" width="15" style="55" customWidth="1"/>
    <col min="1802" max="2048" width="9" style="55"/>
    <col min="2049" max="2049" width="6" style="55" customWidth="1"/>
    <col min="2050" max="2050" width="11.5703125" style="55" customWidth="1"/>
    <col min="2051" max="2051" width="45.42578125" style="55" customWidth="1"/>
    <col min="2052" max="2052" width="6.140625" style="55" customWidth="1"/>
    <col min="2053" max="2055" width="12.28515625" style="55" customWidth="1"/>
    <col min="2056" max="2056" width="15.140625" style="55" customWidth="1"/>
    <col min="2057" max="2057" width="15" style="55" customWidth="1"/>
    <col min="2058" max="2304" width="9" style="55"/>
    <col min="2305" max="2305" width="6" style="55" customWidth="1"/>
    <col min="2306" max="2306" width="11.5703125" style="55" customWidth="1"/>
    <col min="2307" max="2307" width="45.42578125" style="55" customWidth="1"/>
    <col min="2308" max="2308" width="6.140625" style="55" customWidth="1"/>
    <col min="2309" max="2311" width="12.28515625" style="55" customWidth="1"/>
    <col min="2312" max="2312" width="15.140625" style="55" customWidth="1"/>
    <col min="2313" max="2313" width="15" style="55" customWidth="1"/>
    <col min="2314" max="2560" width="9" style="55"/>
    <col min="2561" max="2561" width="6" style="55" customWidth="1"/>
    <col min="2562" max="2562" width="11.5703125" style="55" customWidth="1"/>
    <col min="2563" max="2563" width="45.42578125" style="55" customWidth="1"/>
    <col min="2564" max="2564" width="6.140625" style="55" customWidth="1"/>
    <col min="2565" max="2567" width="12.28515625" style="55" customWidth="1"/>
    <col min="2568" max="2568" width="15.140625" style="55" customWidth="1"/>
    <col min="2569" max="2569" width="15" style="55" customWidth="1"/>
    <col min="2570" max="2816" width="9" style="55"/>
    <col min="2817" max="2817" width="6" style="55" customWidth="1"/>
    <col min="2818" max="2818" width="11.5703125" style="55" customWidth="1"/>
    <col min="2819" max="2819" width="45.42578125" style="55" customWidth="1"/>
    <col min="2820" max="2820" width="6.140625" style="55" customWidth="1"/>
    <col min="2821" max="2823" width="12.28515625" style="55" customWidth="1"/>
    <col min="2824" max="2824" width="15.140625" style="55" customWidth="1"/>
    <col min="2825" max="2825" width="15" style="55" customWidth="1"/>
    <col min="2826" max="3072" width="9" style="55"/>
    <col min="3073" max="3073" width="6" style="55" customWidth="1"/>
    <col min="3074" max="3074" width="11.5703125" style="55" customWidth="1"/>
    <col min="3075" max="3075" width="45.42578125" style="55" customWidth="1"/>
    <col min="3076" max="3076" width="6.140625" style="55" customWidth="1"/>
    <col min="3077" max="3079" width="12.28515625" style="55" customWidth="1"/>
    <col min="3080" max="3080" width="15.140625" style="55" customWidth="1"/>
    <col min="3081" max="3081" width="15" style="55" customWidth="1"/>
    <col min="3082" max="3328" width="9" style="55"/>
    <col min="3329" max="3329" width="6" style="55" customWidth="1"/>
    <col min="3330" max="3330" width="11.5703125" style="55" customWidth="1"/>
    <col min="3331" max="3331" width="45.42578125" style="55" customWidth="1"/>
    <col min="3332" max="3332" width="6.140625" style="55" customWidth="1"/>
    <col min="3333" max="3335" width="12.28515625" style="55" customWidth="1"/>
    <col min="3336" max="3336" width="15.140625" style="55" customWidth="1"/>
    <col min="3337" max="3337" width="15" style="55" customWidth="1"/>
    <col min="3338" max="3584" width="9" style="55"/>
    <col min="3585" max="3585" width="6" style="55" customWidth="1"/>
    <col min="3586" max="3586" width="11.5703125" style="55" customWidth="1"/>
    <col min="3587" max="3587" width="45.42578125" style="55" customWidth="1"/>
    <col min="3588" max="3588" width="6.140625" style="55" customWidth="1"/>
    <col min="3589" max="3591" width="12.28515625" style="55" customWidth="1"/>
    <col min="3592" max="3592" width="15.140625" style="55" customWidth="1"/>
    <col min="3593" max="3593" width="15" style="55" customWidth="1"/>
    <col min="3594" max="3840" width="9" style="55"/>
    <col min="3841" max="3841" width="6" style="55" customWidth="1"/>
    <col min="3842" max="3842" width="11.5703125" style="55" customWidth="1"/>
    <col min="3843" max="3843" width="45.42578125" style="55" customWidth="1"/>
    <col min="3844" max="3844" width="6.140625" style="55" customWidth="1"/>
    <col min="3845" max="3847" width="12.28515625" style="55" customWidth="1"/>
    <col min="3848" max="3848" width="15.140625" style="55" customWidth="1"/>
    <col min="3849" max="3849" width="15" style="55" customWidth="1"/>
    <col min="3850" max="4096" width="9" style="55"/>
    <col min="4097" max="4097" width="6" style="55" customWidth="1"/>
    <col min="4098" max="4098" width="11.5703125" style="55" customWidth="1"/>
    <col min="4099" max="4099" width="45.42578125" style="55" customWidth="1"/>
    <col min="4100" max="4100" width="6.140625" style="55" customWidth="1"/>
    <col min="4101" max="4103" width="12.28515625" style="55" customWidth="1"/>
    <col min="4104" max="4104" width="15.140625" style="55" customWidth="1"/>
    <col min="4105" max="4105" width="15" style="55" customWidth="1"/>
    <col min="4106" max="4352" width="9" style="55"/>
    <col min="4353" max="4353" width="6" style="55" customWidth="1"/>
    <col min="4354" max="4354" width="11.5703125" style="55" customWidth="1"/>
    <col min="4355" max="4355" width="45.42578125" style="55" customWidth="1"/>
    <col min="4356" max="4356" width="6.140625" style="55" customWidth="1"/>
    <col min="4357" max="4359" width="12.28515625" style="55" customWidth="1"/>
    <col min="4360" max="4360" width="15.140625" style="55" customWidth="1"/>
    <col min="4361" max="4361" width="15" style="55" customWidth="1"/>
    <col min="4362" max="4608" width="9" style="55"/>
    <col min="4609" max="4609" width="6" style="55" customWidth="1"/>
    <col min="4610" max="4610" width="11.5703125" style="55" customWidth="1"/>
    <col min="4611" max="4611" width="45.42578125" style="55" customWidth="1"/>
    <col min="4612" max="4612" width="6.140625" style="55" customWidth="1"/>
    <col min="4613" max="4615" width="12.28515625" style="55" customWidth="1"/>
    <col min="4616" max="4616" width="15.140625" style="55" customWidth="1"/>
    <col min="4617" max="4617" width="15" style="55" customWidth="1"/>
    <col min="4618" max="4864" width="9" style="55"/>
    <col min="4865" max="4865" width="6" style="55" customWidth="1"/>
    <col min="4866" max="4866" width="11.5703125" style="55" customWidth="1"/>
    <col min="4867" max="4867" width="45.42578125" style="55" customWidth="1"/>
    <col min="4868" max="4868" width="6.140625" style="55" customWidth="1"/>
    <col min="4869" max="4871" width="12.28515625" style="55" customWidth="1"/>
    <col min="4872" max="4872" width="15.140625" style="55" customWidth="1"/>
    <col min="4873" max="4873" width="15" style="55" customWidth="1"/>
    <col min="4874" max="5120" width="9" style="55"/>
    <col min="5121" max="5121" width="6" style="55" customWidth="1"/>
    <col min="5122" max="5122" width="11.5703125" style="55" customWidth="1"/>
    <col min="5123" max="5123" width="45.42578125" style="55" customWidth="1"/>
    <col min="5124" max="5124" width="6.140625" style="55" customWidth="1"/>
    <col min="5125" max="5127" width="12.28515625" style="55" customWidth="1"/>
    <col min="5128" max="5128" width="15.140625" style="55" customWidth="1"/>
    <col min="5129" max="5129" width="15" style="55" customWidth="1"/>
    <col min="5130" max="5376" width="9" style="55"/>
    <col min="5377" max="5377" width="6" style="55" customWidth="1"/>
    <col min="5378" max="5378" width="11.5703125" style="55" customWidth="1"/>
    <col min="5379" max="5379" width="45.42578125" style="55" customWidth="1"/>
    <col min="5380" max="5380" width="6.140625" style="55" customWidth="1"/>
    <col min="5381" max="5383" width="12.28515625" style="55" customWidth="1"/>
    <col min="5384" max="5384" width="15.140625" style="55" customWidth="1"/>
    <col min="5385" max="5385" width="15" style="55" customWidth="1"/>
    <col min="5386" max="5632" width="9" style="55"/>
    <col min="5633" max="5633" width="6" style="55" customWidth="1"/>
    <col min="5634" max="5634" width="11.5703125" style="55" customWidth="1"/>
    <col min="5635" max="5635" width="45.42578125" style="55" customWidth="1"/>
    <col min="5636" max="5636" width="6.140625" style="55" customWidth="1"/>
    <col min="5637" max="5639" width="12.28515625" style="55" customWidth="1"/>
    <col min="5640" max="5640" width="15.140625" style="55" customWidth="1"/>
    <col min="5641" max="5641" width="15" style="55" customWidth="1"/>
    <col min="5642" max="5888" width="9" style="55"/>
    <col min="5889" max="5889" width="6" style="55" customWidth="1"/>
    <col min="5890" max="5890" width="11.5703125" style="55" customWidth="1"/>
    <col min="5891" max="5891" width="45.42578125" style="55" customWidth="1"/>
    <col min="5892" max="5892" width="6.140625" style="55" customWidth="1"/>
    <col min="5893" max="5895" width="12.28515625" style="55" customWidth="1"/>
    <col min="5896" max="5896" width="15.140625" style="55" customWidth="1"/>
    <col min="5897" max="5897" width="15" style="55" customWidth="1"/>
    <col min="5898" max="6144" width="9" style="55"/>
    <col min="6145" max="6145" width="6" style="55" customWidth="1"/>
    <col min="6146" max="6146" width="11.5703125" style="55" customWidth="1"/>
    <col min="6147" max="6147" width="45.42578125" style="55" customWidth="1"/>
    <col min="6148" max="6148" width="6.140625" style="55" customWidth="1"/>
    <col min="6149" max="6151" width="12.28515625" style="55" customWidth="1"/>
    <col min="6152" max="6152" width="15.140625" style="55" customWidth="1"/>
    <col min="6153" max="6153" width="15" style="55" customWidth="1"/>
    <col min="6154" max="6400" width="9" style="55"/>
    <col min="6401" max="6401" width="6" style="55" customWidth="1"/>
    <col min="6402" max="6402" width="11.5703125" style="55" customWidth="1"/>
    <col min="6403" max="6403" width="45.42578125" style="55" customWidth="1"/>
    <col min="6404" max="6404" width="6.140625" style="55" customWidth="1"/>
    <col min="6405" max="6407" width="12.28515625" style="55" customWidth="1"/>
    <col min="6408" max="6408" width="15.140625" style="55" customWidth="1"/>
    <col min="6409" max="6409" width="15" style="55" customWidth="1"/>
    <col min="6410" max="6656" width="9" style="55"/>
    <col min="6657" max="6657" width="6" style="55" customWidth="1"/>
    <col min="6658" max="6658" width="11.5703125" style="55" customWidth="1"/>
    <col min="6659" max="6659" width="45.42578125" style="55" customWidth="1"/>
    <col min="6660" max="6660" width="6.140625" style="55" customWidth="1"/>
    <col min="6661" max="6663" width="12.28515625" style="55" customWidth="1"/>
    <col min="6664" max="6664" width="15.140625" style="55" customWidth="1"/>
    <col min="6665" max="6665" width="15" style="55" customWidth="1"/>
    <col min="6666" max="6912" width="9" style="55"/>
    <col min="6913" max="6913" width="6" style="55" customWidth="1"/>
    <col min="6914" max="6914" width="11.5703125" style="55" customWidth="1"/>
    <col min="6915" max="6915" width="45.42578125" style="55" customWidth="1"/>
    <col min="6916" max="6916" width="6.140625" style="55" customWidth="1"/>
    <col min="6917" max="6919" width="12.28515625" style="55" customWidth="1"/>
    <col min="6920" max="6920" width="15.140625" style="55" customWidth="1"/>
    <col min="6921" max="6921" width="15" style="55" customWidth="1"/>
    <col min="6922" max="7168" width="9" style="55"/>
    <col min="7169" max="7169" width="6" style="55" customWidth="1"/>
    <col min="7170" max="7170" width="11.5703125" style="55" customWidth="1"/>
    <col min="7171" max="7171" width="45.42578125" style="55" customWidth="1"/>
    <col min="7172" max="7172" width="6.140625" style="55" customWidth="1"/>
    <col min="7173" max="7175" width="12.28515625" style="55" customWidth="1"/>
    <col min="7176" max="7176" width="15.140625" style="55" customWidth="1"/>
    <col min="7177" max="7177" width="15" style="55" customWidth="1"/>
    <col min="7178" max="7424" width="9" style="55"/>
    <col min="7425" max="7425" width="6" style="55" customWidth="1"/>
    <col min="7426" max="7426" width="11.5703125" style="55" customWidth="1"/>
    <col min="7427" max="7427" width="45.42578125" style="55" customWidth="1"/>
    <col min="7428" max="7428" width="6.140625" style="55" customWidth="1"/>
    <col min="7429" max="7431" width="12.28515625" style="55" customWidth="1"/>
    <col min="7432" max="7432" width="15.140625" style="55" customWidth="1"/>
    <col min="7433" max="7433" width="15" style="55" customWidth="1"/>
    <col min="7434" max="7680" width="9" style="55"/>
    <col min="7681" max="7681" width="6" style="55" customWidth="1"/>
    <col min="7682" max="7682" width="11.5703125" style="55" customWidth="1"/>
    <col min="7683" max="7683" width="45.42578125" style="55" customWidth="1"/>
    <col min="7684" max="7684" width="6.140625" style="55" customWidth="1"/>
    <col min="7685" max="7687" width="12.28515625" style="55" customWidth="1"/>
    <col min="7688" max="7688" width="15.140625" style="55" customWidth="1"/>
    <col min="7689" max="7689" width="15" style="55" customWidth="1"/>
    <col min="7690" max="7936" width="9" style="55"/>
    <col min="7937" max="7937" width="6" style="55" customWidth="1"/>
    <col min="7938" max="7938" width="11.5703125" style="55" customWidth="1"/>
    <col min="7939" max="7939" width="45.42578125" style="55" customWidth="1"/>
    <col min="7940" max="7940" width="6.140625" style="55" customWidth="1"/>
    <col min="7941" max="7943" width="12.28515625" style="55" customWidth="1"/>
    <col min="7944" max="7944" width="15.140625" style="55" customWidth="1"/>
    <col min="7945" max="7945" width="15" style="55" customWidth="1"/>
    <col min="7946" max="8192" width="9" style="55"/>
    <col min="8193" max="8193" width="6" style="55" customWidth="1"/>
    <col min="8194" max="8194" width="11.5703125" style="55" customWidth="1"/>
    <col min="8195" max="8195" width="45.42578125" style="55" customWidth="1"/>
    <col min="8196" max="8196" width="6.140625" style="55" customWidth="1"/>
    <col min="8197" max="8199" width="12.28515625" style="55" customWidth="1"/>
    <col min="8200" max="8200" width="15.140625" style="55" customWidth="1"/>
    <col min="8201" max="8201" width="15" style="55" customWidth="1"/>
    <col min="8202" max="8448" width="9" style="55"/>
    <col min="8449" max="8449" width="6" style="55" customWidth="1"/>
    <col min="8450" max="8450" width="11.5703125" style="55" customWidth="1"/>
    <col min="8451" max="8451" width="45.42578125" style="55" customWidth="1"/>
    <col min="8452" max="8452" width="6.140625" style="55" customWidth="1"/>
    <col min="8453" max="8455" width="12.28515625" style="55" customWidth="1"/>
    <col min="8456" max="8456" width="15.140625" style="55" customWidth="1"/>
    <col min="8457" max="8457" width="15" style="55" customWidth="1"/>
    <col min="8458" max="8704" width="9" style="55"/>
    <col min="8705" max="8705" width="6" style="55" customWidth="1"/>
    <col min="8706" max="8706" width="11.5703125" style="55" customWidth="1"/>
    <col min="8707" max="8707" width="45.42578125" style="55" customWidth="1"/>
    <col min="8708" max="8708" width="6.140625" style="55" customWidth="1"/>
    <col min="8709" max="8711" width="12.28515625" style="55" customWidth="1"/>
    <col min="8712" max="8712" width="15.140625" style="55" customWidth="1"/>
    <col min="8713" max="8713" width="15" style="55" customWidth="1"/>
    <col min="8714" max="8960" width="9" style="55"/>
    <col min="8961" max="8961" width="6" style="55" customWidth="1"/>
    <col min="8962" max="8962" width="11.5703125" style="55" customWidth="1"/>
    <col min="8963" max="8963" width="45.42578125" style="55" customWidth="1"/>
    <col min="8964" max="8964" width="6.140625" style="55" customWidth="1"/>
    <col min="8965" max="8967" width="12.28515625" style="55" customWidth="1"/>
    <col min="8968" max="8968" width="15.140625" style="55" customWidth="1"/>
    <col min="8969" max="8969" width="15" style="55" customWidth="1"/>
    <col min="8970" max="9216" width="9" style="55"/>
    <col min="9217" max="9217" width="6" style="55" customWidth="1"/>
    <col min="9218" max="9218" width="11.5703125" style="55" customWidth="1"/>
    <col min="9219" max="9219" width="45.42578125" style="55" customWidth="1"/>
    <col min="9220" max="9220" width="6.140625" style="55" customWidth="1"/>
    <col min="9221" max="9223" width="12.28515625" style="55" customWidth="1"/>
    <col min="9224" max="9224" width="15.140625" style="55" customWidth="1"/>
    <col min="9225" max="9225" width="15" style="55" customWidth="1"/>
    <col min="9226" max="9472" width="9" style="55"/>
    <col min="9473" max="9473" width="6" style="55" customWidth="1"/>
    <col min="9474" max="9474" width="11.5703125" style="55" customWidth="1"/>
    <col min="9475" max="9475" width="45.42578125" style="55" customWidth="1"/>
    <col min="9476" max="9476" width="6.140625" style="55" customWidth="1"/>
    <col min="9477" max="9479" width="12.28515625" style="55" customWidth="1"/>
    <col min="9480" max="9480" width="15.140625" style="55" customWidth="1"/>
    <col min="9481" max="9481" width="15" style="55" customWidth="1"/>
    <col min="9482" max="9728" width="9" style="55"/>
    <col min="9729" max="9729" width="6" style="55" customWidth="1"/>
    <col min="9730" max="9730" width="11.5703125" style="55" customWidth="1"/>
    <col min="9731" max="9731" width="45.42578125" style="55" customWidth="1"/>
    <col min="9732" max="9732" width="6.140625" style="55" customWidth="1"/>
    <col min="9733" max="9735" width="12.28515625" style="55" customWidth="1"/>
    <col min="9736" max="9736" width="15.140625" style="55" customWidth="1"/>
    <col min="9737" max="9737" width="15" style="55" customWidth="1"/>
    <col min="9738" max="9984" width="9" style="55"/>
    <col min="9985" max="9985" width="6" style="55" customWidth="1"/>
    <col min="9986" max="9986" width="11.5703125" style="55" customWidth="1"/>
    <col min="9987" max="9987" width="45.42578125" style="55" customWidth="1"/>
    <col min="9988" max="9988" width="6.140625" style="55" customWidth="1"/>
    <col min="9989" max="9991" width="12.28515625" style="55" customWidth="1"/>
    <col min="9992" max="9992" width="15.140625" style="55" customWidth="1"/>
    <col min="9993" max="9993" width="15" style="55" customWidth="1"/>
    <col min="9994" max="10240" width="9" style="55"/>
    <col min="10241" max="10241" width="6" style="55" customWidth="1"/>
    <col min="10242" max="10242" width="11.5703125" style="55" customWidth="1"/>
    <col min="10243" max="10243" width="45.42578125" style="55" customWidth="1"/>
    <col min="10244" max="10244" width="6.140625" style="55" customWidth="1"/>
    <col min="10245" max="10247" width="12.28515625" style="55" customWidth="1"/>
    <col min="10248" max="10248" width="15.140625" style="55" customWidth="1"/>
    <col min="10249" max="10249" width="15" style="55" customWidth="1"/>
    <col min="10250" max="10496" width="9" style="55"/>
    <col min="10497" max="10497" width="6" style="55" customWidth="1"/>
    <col min="10498" max="10498" width="11.5703125" style="55" customWidth="1"/>
    <col min="10499" max="10499" width="45.42578125" style="55" customWidth="1"/>
    <col min="10500" max="10500" width="6.140625" style="55" customWidth="1"/>
    <col min="10501" max="10503" width="12.28515625" style="55" customWidth="1"/>
    <col min="10504" max="10504" width="15.140625" style="55" customWidth="1"/>
    <col min="10505" max="10505" width="15" style="55" customWidth="1"/>
    <col min="10506" max="10752" width="9" style="55"/>
    <col min="10753" max="10753" width="6" style="55" customWidth="1"/>
    <col min="10754" max="10754" width="11.5703125" style="55" customWidth="1"/>
    <col min="10755" max="10755" width="45.42578125" style="55" customWidth="1"/>
    <col min="10756" max="10756" width="6.140625" style="55" customWidth="1"/>
    <col min="10757" max="10759" width="12.28515625" style="55" customWidth="1"/>
    <col min="10760" max="10760" width="15.140625" style="55" customWidth="1"/>
    <col min="10761" max="10761" width="15" style="55" customWidth="1"/>
    <col min="10762" max="11008" width="9" style="55"/>
    <col min="11009" max="11009" width="6" style="55" customWidth="1"/>
    <col min="11010" max="11010" width="11.5703125" style="55" customWidth="1"/>
    <col min="11011" max="11011" width="45.42578125" style="55" customWidth="1"/>
    <col min="11012" max="11012" width="6.140625" style="55" customWidth="1"/>
    <col min="11013" max="11015" width="12.28515625" style="55" customWidth="1"/>
    <col min="11016" max="11016" width="15.140625" style="55" customWidth="1"/>
    <col min="11017" max="11017" width="15" style="55" customWidth="1"/>
    <col min="11018" max="11264" width="9" style="55"/>
    <col min="11265" max="11265" width="6" style="55" customWidth="1"/>
    <col min="11266" max="11266" width="11.5703125" style="55" customWidth="1"/>
    <col min="11267" max="11267" width="45.42578125" style="55" customWidth="1"/>
    <col min="11268" max="11268" width="6.140625" style="55" customWidth="1"/>
    <col min="11269" max="11271" width="12.28515625" style="55" customWidth="1"/>
    <col min="11272" max="11272" width="15.140625" style="55" customWidth="1"/>
    <col min="11273" max="11273" width="15" style="55" customWidth="1"/>
    <col min="11274" max="11520" width="9" style="55"/>
    <col min="11521" max="11521" width="6" style="55" customWidth="1"/>
    <col min="11522" max="11522" width="11.5703125" style="55" customWidth="1"/>
    <col min="11523" max="11523" width="45.42578125" style="55" customWidth="1"/>
    <col min="11524" max="11524" width="6.140625" style="55" customWidth="1"/>
    <col min="11525" max="11527" width="12.28515625" style="55" customWidth="1"/>
    <col min="11528" max="11528" width="15.140625" style="55" customWidth="1"/>
    <col min="11529" max="11529" width="15" style="55" customWidth="1"/>
    <col min="11530" max="11776" width="9" style="55"/>
    <col min="11777" max="11777" width="6" style="55" customWidth="1"/>
    <col min="11778" max="11778" width="11.5703125" style="55" customWidth="1"/>
    <col min="11779" max="11779" width="45.42578125" style="55" customWidth="1"/>
    <col min="11780" max="11780" width="6.140625" style="55" customWidth="1"/>
    <col min="11781" max="11783" width="12.28515625" style="55" customWidth="1"/>
    <col min="11784" max="11784" width="15.140625" style="55" customWidth="1"/>
    <col min="11785" max="11785" width="15" style="55" customWidth="1"/>
    <col min="11786" max="12032" width="9" style="55"/>
    <col min="12033" max="12033" width="6" style="55" customWidth="1"/>
    <col min="12034" max="12034" width="11.5703125" style="55" customWidth="1"/>
    <col min="12035" max="12035" width="45.42578125" style="55" customWidth="1"/>
    <col min="12036" max="12036" width="6.140625" style="55" customWidth="1"/>
    <col min="12037" max="12039" width="12.28515625" style="55" customWidth="1"/>
    <col min="12040" max="12040" width="15.140625" style="55" customWidth="1"/>
    <col min="12041" max="12041" width="15" style="55" customWidth="1"/>
    <col min="12042" max="12288" width="9" style="55"/>
    <col min="12289" max="12289" width="6" style="55" customWidth="1"/>
    <col min="12290" max="12290" width="11.5703125" style="55" customWidth="1"/>
    <col min="12291" max="12291" width="45.42578125" style="55" customWidth="1"/>
    <col min="12292" max="12292" width="6.140625" style="55" customWidth="1"/>
    <col min="12293" max="12295" width="12.28515625" style="55" customWidth="1"/>
    <col min="12296" max="12296" width="15.140625" style="55" customWidth="1"/>
    <col min="12297" max="12297" width="15" style="55" customWidth="1"/>
    <col min="12298" max="12544" width="9" style="55"/>
    <col min="12545" max="12545" width="6" style="55" customWidth="1"/>
    <col min="12546" max="12546" width="11.5703125" style="55" customWidth="1"/>
    <col min="12547" max="12547" width="45.42578125" style="55" customWidth="1"/>
    <col min="12548" max="12548" width="6.140625" style="55" customWidth="1"/>
    <col min="12549" max="12551" width="12.28515625" style="55" customWidth="1"/>
    <col min="12552" max="12552" width="15.140625" style="55" customWidth="1"/>
    <col min="12553" max="12553" width="15" style="55" customWidth="1"/>
    <col min="12554" max="12800" width="9" style="55"/>
    <col min="12801" max="12801" width="6" style="55" customWidth="1"/>
    <col min="12802" max="12802" width="11.5703125" style="55" customWidth="1"/>
    <col min="12803" max="12803" width="45.42578125" style="55" customWidth="1"/>
    <col min="12804" max="12804" width="6.140625" style="55" customWidth="1"/>
    <col min="12805" max="12807" width="12.28515625" style="55" customWidth="1"/>
    <col min="12808" max="12808" width="15.140625" style="55" customWidth="1"/>
    <col min="12809" max="12809" width="15" style="55" customWidth="1"/>
    <col min="12810" max="13056" width="9" style="55"/>
    <col min="13057" max="13057" width="6" style="55" customWidth="1"/>
    <col min="13058" max="13058" width="11.5703125" style="55" customWidth="1"/>
    <col min="13059" max="13059" width="45.42578125" style="55" customWidth="1"/>
    <col min="13060" max="13060" width="6.140625" style="55" customWidth="1"/>
    <col min="13061" max="13063" width="12.28515625" style="55" customWidth="1"/>
    <col min="13064" max="13064" width="15.140625" style="55" customWidth="1"/>
    <col min="13065" max="13065" width="15" style="55" customWidth="1"/>
    <col min="13066" max="13312" width="9" style="55"/>
    <col min="13313" max="13313" width="6" style="55" customWidth="1"/>
    <col min="13314" max="13314" width="11.5703125" style="55" customWidth="1"/>
    <col min="13315" max="13315" width="45.42578125" style="55" customWidth="1"/>
    <col min="13316" max="13316" width="6.140625" style="55" customWidth="1"/>
    <col min="13317" max="13319" width="12.28515625" style="55" customWidth="1"/>
    <col min="13320" max="13320" width="15.140625" style="55" customWidth="1"/>
    <col min="13321" max="13321" width="15" style="55" customWidth="1"/>
    <col min="13322" max="13568" width="9" style="55"/>
    <col min="13569" max="13569" width="6" style="55" customWidth="1"/>
    <col min="13570" max="13570" width="11.5703125" style="55" customWidth="1"/>
    <col min="13571" max="13571" width="45.42578125" style="55" customWidth="1"/>
    <col min="13572" max="13572" width="6.140625" style="55" customWidth="1"/>
    <col min="13573" max="13575" width="12.28515625" style="55" customWidth="1"/>
    <col min="13576" max="13576" width="15.140625" style="55" customWidth="1"/>
    <col min="13577" max="13577" width="15" style="55" customWidth="1"/>
    <col min="13578" max="13824" width="9" style="55"/>
    <col min="13825" max="13825" width="6" style="55" customWidth="1"/>
    <col min="13826" max="13826" width="11.5703125" style="55" customWidth="1"/>
    <col min="13827" max="13827" width="45.42578125" style="55" customWidth="1"/>
    <col min="13828" max="13828" width="6.140625" style="55" customWidth="1"/>
    <col min="13829" max="13831" width="12.28515625" style="55" customWidth="1"/>
    <col min="13832" max="13832" width="15.140625" style="55" customWidth="1"/>
    <col min="13833" max="13833" width="15" style="55" customWidth="1"/>
    <col min="13834" max="14080" width="9" style="55"/>
    <col min="14081" max="14081" width="6" style="55" customWidth="1"/>
    <col min="14082" max="14082" width="11.5703125" style="55" customWidth="1"/>
    <col min="14083" max="14083" width="45.42578125" style="55" customWidth="1"/>
    <col min="14084" max="14084" width="6.140625" style="55" customWidth="1"/>
    <col min="14085" max="14087" width="12.28515625" style="55" customWidth="1"/>
    <col min="14088" max="14088" width="15.140625" style="55" customWidth="1"/>
    <col min="14089" max="14089" width="15" style="55" customWidth="1"/>
    <col min="14090" max="14336" width="9" style="55"/>
    <col min="14337" max="14337" width="6" style="55" customWidth="1"/>
    <col min="14338" max="14338" width="11.5703125" style="55" customWidth="1"/>
    <col min="14339" max="14339" width="45.42578125" style="55" customWidth="1"/>
    <col min="14340" max="14340" width="6.140625" style="55" customWidth="1"/>
    <col min="14341" max="14343" width="12.28515625" style="55" customWidth="1"/>
    <col min="14344" max="14344" width="15.140625" style="55" customWidth="1"/>
    <col min="14345" max="14345" width="15" style="55" customWidth="1"/>
    <col min="14346" max="14592" width="9" style="55"/>
    <col min="14593" max="14593" width="6" style="55" customWidth="1"/>
    <col min="14594" max="14594" width="11.5703125" style="55" customWidth="1"/>
    <col min="14595" max="14595" width="45.42578125" style="55" customWidth="1"/>
    <col min="14596" max="14596" width="6.140625" style="55" customWidth="1"/>
    <col min="14597" max="14599" width="12.28515625" style="55" customWidth="1"/>
    <col min="14600" max="14600" width="15.140625" style="55" customWidth="1"/>
    <col min="14601" max="14601" width="15" style="55" customWidth="1"/>
    <col min="14602" max="14848" width="9" style="55"/>
    <col min="14849" max="14849" width="6" style="55" customWidth="1"/>
    <col min="14850" max="14850" width="11.5703125" style="55" customWidth="1"/>
    <col min="14851" max="14851" width="45.42578125" style="55" customWidth="1"/>
    <col min="14852" max="14852" width="6.140625" style="55" customWidth="1"/>
    <col min="14853" max="14855" width="12.28515625" style="55" customWidth="1"/>
    <col min="14856" max="14856" width="15.140625" style="55" customWidth="1"/>
    <col min="14857" max="14857" width="15" style="55" customWidth="1"/>
    <col min="14858" max="15104" width="9" style="55"/>
    <col min="15105" max="15105" width="6" style="55" customWidth="1"/>
    <col min="15106" max="15106" width="11.5703125" style="55" customWidth="1"/>
    <col min="15107" max="15107" width="45.42578125" style="55" customWidth="1"/>
    <col min="15108" max="15108" width="6.140625" style="55" customWidth="1"/>
    <col min="15109" max="15111" width="12.28515625" style="55" customWidth="1"/>
    <col min="15112" max="15112" width="15.140625" style="55" customWidth="1"/>
    <col min="15113" max="15113" width="15" style="55" customWidth="1"/>
    <col min="15114" max="15360" width="9" style="55"/>
    <col min="15361" max="15361" width="6" style="55" customWidth="1"/>
    <col min="15362" max="15362" width="11.5703125" style="55" customWidth="1"/>
    <col min="15363" max="15363" width="45.42578125" style="55" customWidth="1"/>
    <col min="15364" max="15364" width="6.140625" style="55" customWidth="1"/>
    <col min="15365" max="15367" width="12.28515625" style="55" customWidth="1"/>
    <col min="15368" max="15368" width="15.140625" style="55" customWidth="1"/>
    <col min="15369" max="15369" width="15" style="55" customWidth="1"/>
    <col min="15370" max="15616" width="9" style="55"/>
    <col min="15617" max="15617" width="6" style="55" customWidth="1"/>
    <col min="15618" max="15618" width="11.5703125" style="55" customWidth="1"/>
    <col min="15619" max="15619" width="45.42578125" style="55" customWidth="1"/>
    <col min="15620" max="15620" width="6.140625" style="55" customWidth="1"/>
    <col min="15621" max="15623" width="12.28515625" style="55" customWidth="1"/>
    <col min="15624" max="15624" width="15.140625" style="55" customWidth="1"/>
    <col min="15625" max="15625" width="15" style="55" customWidth="1"/>
    <col min="15626" max="15872" width="9" style="55"/>
    <col min="15873" max="15873" width="6" style="55" customWidth="1"/>
    <col min="15874" max="15874" width="11.5703125" style="55" customWidth="1"/>
    <col min="15875" max="15875" width="45.42578125" style="55" customWidth="1"/>
    <col min="15876" max="15876" width="6.140625" style="55" customWidth="1"/>
    <col min="15877" max="15879" width="12.28515625" style="55" customWidth="1"/>
    <col min="15880" max="15880" width="15.140625" style="55" customWidth="1"/>
    <col min="15881" max="15881" width="15" style="55" customWidth="1"/>
    <col min="15882" max="16128" width="9" style="55"/>
    <col min="16129" max="16129" width="6" style="55" customWidth="1"/>
    <col min="16130" max="16130" width="11.5703125" style="55" customWidth="1"/>
    <col min="16131" max="16131" width="45.42578125" style="55" customWidth="1"/>
    <col min="16132" max="16132" width="6.140625" style="55" customWidth="1"/>
    <col min="16133" max="16135" width="12.28515625" style="55" customWidth="1"/>
    <col min="16136" max="16136" width="15.140625" style="55" customWidth="1"/>
    <col min="16137" max="16137" width="15" style="55" customWidth="1"/>
    <col min="16138" max="16384" width="9" style="55"/>
  </cols>
  <sheetData>
    <row r="1" spans="1:9" x14ac:dyDescent="0.25">
      <c r="A1" s="55" t="s">
        <v>16</v>
      </c>
    </row>
    <row r="2" spans="1:9" x14ac:dyDescent="0.25">
      <c r="A2" s="55" t="s">
        <v>1</v>
      </c>
    </row>
    <row r="4" spans="1:9" x14ac:dyDescent="0.25">
      <c r="A4" s="273" t="str">
        <f>+'[1]Hộp oto'!A4:I5</f>
        <v>THẺ KHO NGUYÊN VẬT LIỆU</v>
      </c>
      <c r="B4" s="273"/>
      <c r="C4" s="273"/>
      <c r="D4" s="273"/>
      <c r="E4" s="273"/>
      <c r="F4" s="273"/>
      <c r="G4" s="273"/>
      <c r="H4" s="273"/>
      <c r="I4" s="273"/>
    </row>
    <row r="5" spans="1:9" x14ac:dyDescent="0.25">
      <c r="A5" s="273"/>
      <c r="B5" s="273"/>
      <c r="C5" s="273"/>
      <c r="D5" s="273"/>
      <c r="E5" s="273"/>
      <c r="F5" s="273"/>
      <c r="G5" s="273"/>
      <c r="H5" s="273"/>
      <c r="I5" s="273"/>
    </row>
    <row r="7" spans="1:9" ht="33.75" customHeight="1" x14ac:dyDescent="0.25">
      <c r="A7" s="65" t="s">
        <v>3</v>
      </c>
      <c r="B7" s="65" t="s">
        <v>4</v>
      </c>
      <c r="C7" s="4" t="s">
        <v>31</v>
      </c>
      <c r="D7" s="65" t="s">
        <v>5</v>
      </c>
      <c r="E7" s="121" t="s">
        <v>6</v>
      </c>
      <c r="F7" s="114" t="s">
        <v>7</v>
      </c>
      <c r="G7" s="112" t="s">
        <v>8</v>
      </c>
      <c r="H7" s="82" t="s">
        <v>9</v>
      </c>
      <c r="I7" s="82" t="s">
        <v>10</v>
      </c>
    </row>
    <row r="8" spans="1:9" s="90" customFormat="1" ht="18" customHeight="1" x14ac:dyDescent="0.25">
      <c r="A8" s="83"/>
      <c r="B8" s="84"/>
      <c r="C8" s="85" t="s">
        <v>14</v>
      </c>
      <c r="D8" s="61" t="s">
        <v>17</v>
      </c>
      <c r="E8" s="86"/>
      <c r="F8" s="86"/>
      <c r="G8" s="87"/>
      <c r="H8" s="88"/>
      <c r="I8" s="89"/>
    </row>
    <row r="9" spans="1:9" ht="18" customHeight="1" x14ac:dyDescent="0.25">
      <c r="A9" s="58"/>
      <c r="B9" s="59">
        <v>45714</v>
      </c>
      <c r="C9" s="66" t="s">
        <v>72</v>
      </c>
      <c r="D9" s="61" t="s">
        <v>17</v>
      </c>
      <c r="E9" s="62">
        <v>34</v>
      </c>
      <c r="F9" s="62"/>
      <c r="G9" s="91">
        <f>+G8+E9-F9</f>
        <v>34</v>
      </c>
      <c r="H9" s="92"/>
      <c r="I9" s="92" t="s">
        <v>25</v>
      </c>
    </row>
    <row r="10" spans="1:9" ht="18" customHeight="1" x14ac:dyDescent="0.25">
      <c r="A10" s="58"/>
      <c r="B10" s="59">
        <v>45750</v>
      </c>
      <c r="C10" s="66"/>
      <c r="D10" s="61"/>
      <c r="E10" s="62"/>
      <c r="F10" s="93">
        <v>5.7</v>
      </c>
      <c r="G10" s="91">
        <f t="shared" ref="G10:G29" si="0">+G9+E10-F10</f>
        <v>28.3</v>
      </c>
      <c r="H10" s="92" t="s">
        <v>32</v>
      </c>
      <c r="I10" s="92" t="s">
        <v>25</v>
      </c>
    </row>
    <row r="11" spans="1:9" ht="18" customHeight="1" x14ac:dyDescent="0.25">
      <c r="A11" s="58"/>
      <c r="B11" s="70">
        <v>45751</v>
      </c>
      <c r="C11" s="66"/>
      <c r="D11" s="61"/>
      <c r="E11" s="62"/>
      <c r="F11" s="93">
        <v>23.9</v>
      </c>
      <c r="G11" s="91">
        <f t="shared" si="0"/>
        <v>4.4000000000000021</v>
      </c>
      <c r="H11" s="92" t="s">
        <v>32</v>
      </c>
      <c r="I11" s="92" t="s">
        <v>25</v>
      </c>
    </row>
    <row r="12" spans="1:9" ht="18" customHeight="1" x14ac:dyDescent="0.25">
      <c r="A12" s="58"/>
      <c r="B12" s="59">
        <v>45752</v>
      </c>
      <c r="C12" s="66"/>
      <c r="D12" s="61"/>
      <c r="E12" s="62"/>
      <c r="F12" s="93">
        <v>4.4000000000000004</v>
      </c>
      <c r="G12" s="91">
        <f t="shared" si="0"/>
        <v>0</v>
      </c>
      <c r="H12" s="92"/>
      <c r="I12" s="92" t="s">
        <v>25</v>
      </c>
    </row>
    <row r="13" spans="1:9" ht="18" customHeight="1" x14ac:dyDescent="0.25">
      <c r="A13" s="58"/>
      <c r="B13" s="59">
        <v>45787</v>
      </c>
      <c r="C13" s="66"/>
      <c r="D13" s="61"/>
      <c r="E13" s="62">
        <v>59</v>
      </c>
      <c r="F13" s="93"/>
      <c r="G13" s="91">
        <f t="shared" si="0"/>
        <v>59</v>
      </c>
      <c r="H13" s="92" t="s">
        <v>32</v>
      </c>
      <c r="I13" s="92" t="s">
        <v>25</v>
      </c>
    </row>
    <row r="14" spans="1:9" ht="18" customHeight="1" x14ac:dyDescent="0.25">
      <c r="A14" s="58"/>
      <c r="B14" s="59">
        <v>45799</v>
      </c>
      <c r="C14" s="66"/>
      <c r="D14" s="61"/>
      <c r="E14" s="62"/>
      <c r="F14" s="93">
        <v>4.5999999999999996</v>
      </c>
      <c r="G14" s="91">
        <f t="shared" si="0"/>
        <v>54.4</v>
      </c>
      <c r="H14" s="92" t="s">
        <v>32</v>
      </c>
      <c r="I14" s="92" t="s">
        <v>25</v>
      </c>
    </row>
    <row r="15" spans="1:9" ht="18" customHeight="1" x14ac:dyDescent="0.25">
      <c r="A15" s="58"/>
      <c r="B15" s="59">
        <v>45885</v>
      </c>
      <c r="C15" s="66"/>
      <c r="D15" s="61"/>
      <c r="E15" s="62"/>
      <c r="F15" s="93">
        <v>15.3</v>
      </c>
      <c r="G15" s="91">
        <f t="shared" si="0"/>
        <v>39.099999999999994</v>
      </c>
      <c r="H15" s="92"/>
      <c r="I15" s="92"/>
    </row>
    <row r="16" spans="1:9" ht="18" customHeight="1" x14ac:dyDescent="0.25">
      <c r="A16" s="58"/>
      <c r="B16" s="59">
        <v>45887</v>
      </c>
      <c r="C16" s="66"/>
      <c r="D16" s="61"/>
      <c r="E16" s="62"/>
      <c r="F16" s="93">
        <v>0.2</v>
      </c>
      <c r="G16" s="91">
        <f t="shared" si="0"/>
        <v>38.899999999999991</v>
      </c>
      <c r="H16" s="92"/>
      <c r="I16" s="92"/>
    </row>
    <row r="17" spans="1:10" ht="18" customHeight="1" x14ac:dyDescent="0.25">
      <c r="A17" s="58"/>
      <c r="B17" s="59">
        <v>45930</v>
      </c>
      <c r="C17" s="66"/>
      <c r="D17" s="61"/>
      <c r="E17" s="62"/>
      <c r="F17" s="93">
        <v>7.6</v>
      </c>
      <c r="G17" s="91">
        <f t="shared" si="0"/>
        <v>31.29999999999999</v>
      </c>
      <c r="H17" s="92" t="s">
        <v>32</v>
      </c>
      <c r="I17" s="92" t="s">
        <v>25</v>
      </c>
      <c r="J17" s="72"/>
    </row>
    <row r="18" spans="1:10" ht="18" customHeight="1" x14ac:dyDescent="0.25">
      <c r="A18" s="58"/>
      <c r="B18" s="59">
        <v>45934</v>
      </c>
      <c r="C18" s="66"/>
      <c r="D18" s="61"/>
      <c r="E18" s="62"/>
      <c r="F18" s="93">
        <v>7.6</v>
      </c>
      <c r="G18" s="91">
        <f t="shared" si="0"/>
        <v>23.699999999999989</v>
      </c>
      <c r="H18" s="92" t="s">
        <v>32</v>
      </c>
      <c r="I18" s="92" t="s">
        <v>25</v>
      </c>
      <c r="J18" s="72"/>
    </row>
    <row r="19" spans="1:10" ht="18" customHeight="1" x14ac:dyDescent="0.25">
      <c r="A19" s="58"/>
      <c r="B19" s="59"/>
      <c r="C19" s="66"/>
      <c r="D19" s="61"/>
      <c r="E19" s="62"/>
      <c r="F19" s="93"/>
      <c r="G19" s="91">
        <f t="shared" si="0"/>
        <v>23.699999999999989</v>
      </c>
      <c r="H19" s="92" t="s">
        <v>32</v>
      </c>
      <c r="I19" s="92" t="s">
        <v>25</v>
      </c>
      <c r="J19" s="72"/>
    </row>
    <row r="20" spans="1:10" ht="18" customHeight="1" x14ac:dyDescent="0.25">
      <c r="A20" s="58"/>
      <c r="B20" s="59"/>
      <c r="C20" s="66"/>
      <c r="D20" s="61"/>
      <c r="E20" s="62"/>
      <c r="F20" s="62"/>
      <c r="G20" s="91">
        <f t="shared" si="0"/>
        <v>23.699999999999989</v>
      </c>
      <c r="H20" s="92" t="s">
        <v>32</v>
      </c>
      <c r="I20" s="92" t="s">
        <v>25</v>
      </c>
      <c r="J20" s="72"/>
    </row>
    <row r="21" spans="1:10" ht="18" customHeight="1" x14ac:dyDescent="0.25">
      <c r="A21" s="58"/>
      <c r="B21" s="59"/>
      <c r="C21" s="66"/>
      <c r="D21" s="61"/>
      <c r="E21" s="62"/>
      <c r="F21" s="93"/>
      <c r="G21" s="91">
        <f t="shared" si="0"/>
        <v>23.699999999999989</v>
      </c>
      <c r="H21" s="92" t="s">
        <v>32</v>
      </c>
      <c r="I21" s="92" t="s">
        <v>25</v>
      </c>
      <c r="J21" s="72"/>
    </row>
    <row r="22" spans="1:10" ht="18" customHeight="1" x14ac:dyDescent="0.25">
      <c r="A22" s="58"/>
      <c r="B22" s="59"/>
      <c r="C22" s="66"/>
      <c r="D22" s="61"/>
      <c r="E22" s="62"/>
      <c r="F22" s="93"/>
      <c r="G22" s="91">
        <f t="shared" si="0"/>
        <v>23.699999999999989</v>
      </c>
      <c r="H22" s="92" t="s">
        <v>32</v>
      </c>
      <c r="I22" s="92" t="s">
        <v>39</v>
      </c>
    </row>
    <row r="23" spans="1:10" ht="18" customHeight="1" x14ac:dyDescent="0.25">
      <c r="A23" s="58"/>
      <c r="B23" s="59"/>
      <c r="C23" s="66"/>
      <c r="D23" s="61"/>
      <c r="E23" s="62"/>
      <c r="F23" s="93"/>
      <c r="G23" s="91">
        <f t="shared" si="0"/>
        <v>23.699999999999989</v>
      </c>
      <c r="H23" s="92" t="s">
        <v>32</v>
      </c>
      <c r="I23" s="92" t="s">
        <v>25</v>
      </c>
    </row>
    <row r="24" spans="1:10" ht="18" customHeight="1" x14ac:dyDescent="0.25">
      <c r="A24" s="58"/>
      <c r="B24" s="59"/>
      <c r="C24" s="66"/>
      <c r="D24" s="61"/>
      <c r="E24" s="62"/>
      <c r="F24" s="93"/>
      <c r="G24" s="91">
        <f t="shared" si="0"/>
        <v>23.699999999999989</v>
      </c>
      <c r="H24" s="92" t="s">
        <v>32</v>
      </c>
      <c r="I24" s="92" t="s">
        <v>25</v>
      </c>
    </row>
    <row r="25" spans="1:10" s="98" customFormat="1" ht="18" customHeight="1" x14ac:dyDescent="0.25">
      <c r="A25" s="96"/>
      <c r="B25" s="97"/>
      <c r="C25" s="66"/>
      <c r="D25" s="61"/>
      <c r="E25" s="122"/>
      <c r="F25" s="115"/>
      <c r="G25" s="91">
        <f t="shared" si="0"/>
        <v>23.699999999999989</v>
      </c>
      <c r="H25" s="92" t="s">
        <v>32</v>
      </c>
      <c r="I25" s="92" t="s">
        <v>25</v>
      </c>
    </row>
    <row r="26" spans="1:10" ht="18" customHeight="1" x14ac:dyDescent="0.25">
      <c r="A26" s="58"/>
      <c r="B26" s="59"/>
      <c r="C26" s="66"/>
      <c r="D26" s="61"/>
      <c r="E26" s="62"/>
      <c r="F26" s="93"/>
      <c r="G26" s="91">
        <f t="shared" si="0"/>
        <v>23.699999999999989</v>
      </c>
      <c r="H26" s="92" t="s">
        <v>32</v>
      </c>
      <c r="I26" s="92" t="s">
        <v>25</v>
      </c>
    </row>
    <row r="27" spans="1:10" ht="18" customHeight="1" x14ac:dyDescent="0.25">
      <c r="A27" s="58"/>
      <c r="B27" s="59"/>
      <c r="C27" s="66"/>
      <c r="D27" s="61"/>
      <c r="E27" s="62"/>
      <c r="F27" s="62"/>
      <c r="G27" s="91">
        <f t="shared" si="0"/>
        <v>23.699999999999989</v>
      </c>
      <c r="H27" s="92" t="s">
        <v>32</v>
      </c>
      <c r="I27" s="92" t="s">
        <v>25</v>
      </c>
    </row>
    <row r="28" spans="1:10" ht="18" customHeight="1" x14ac:dyDescent="0.25">
      <c r="A28" s="58"/>
      <c r="B28" s="59"/>
      <c r="C28" s="66"/>
      <c r="D28" s="61"/>
      <c r="E28" s="62"/>
      <c r="F28" s="62"/>
      <c r="G28" s="91">
        <f t="shared" si="0"/>
        <v>23.699999999999989</v>
      </c>
      <c r="H28" s="92" t="s">
        <v>32</v>
      </c>
      <c r="I28" s="92" t="s">
        <v>25</v>
      </c>
    </row>
    <row r="29" spans="1:10" ht="18" customHeight="1" x14ac:dyDescent="0.25">
      <c r="A29" s="58"/>
      <c r="B29" s="59"/>
      <c r="C29" s="66"/>
      <c r="D29" s="61"/>
      <c r="E29" s="62"/>
      <c r="F29" s="62"/>
      <c r="G29" s="91">
        <f t="shared" si="0"/>
        <v>23.699999999999989</v>
      </c>
      <c r="H29" s="92" t="s">
        <v>32</v>
      </c>
      <c r="I29" s="92" t="s">
        <v>25</v>
      </c>
    </row>
    <row r="30" spans="1:10" ht="18" customHeight="1" x14ac:dyDescent="0.25">
      <c r="A30" s="58"/>
      <c r="B30" s="59"/>
      <c r="C30" s="66"/>
      <c r="D30" s="61"/>
      <c r="E30" s="62"/>
      <c r="F30" s="62"/>
      <c r="G30" s="91">
        <f t="shared" ref="G30:G93" si="1">+G29+E30-F30</f>
        <v>23.699999999999989</v>
      </c>
      <c r="H30" s="92"/>
      <c r="I30" s="92" t="s">
        <v>25</v>
      </c>
    </row>
    <row r="31" spans="1:10" ht="18" customHeight="1" x14ac:dyDescent="0.25">
      <c r="A31" s="58"/>
      <c r="B31" s="59"/>
      <c r="C31" s="66"/>
      <c r="D31" s="61"/>
      <c r="E31" s="62"/>
      <c r="F31" s="62"/>
      <c r="G31" s="91">
        <f t="shared" si="1"/>
        <v>23.699999999999989</v>
      </c>
      <c r="H31" s="92"/>
      <c r="I31" s="92" t="s">
        <v>25</v>
      </c>
    </row>
    <row r="32" spans="1:10" ht="18" customHeight="1" x14ac:dyDescent="0.25">
      <c r="A32" s="58"/>
      <c r="B32" s="59"/>
      <c r="C32" s="66"/>
      <c r="D32" s="61"/>
      <c r="E32" s="62"/>
      <c r="F32" s="62"/>
      <c r="G32" s="91">
        <f t="shared" si="1"/>
        <v>23.699999999999989</v>
      </c>
      <c r="H32" s="92"/>
      <c r="I32" s="92" t="s">
        <v>25</v>
      </c>
    </row>
    <row r="33" spans="1:9" ht="18" customHeight="1" x14ac:dyDescent="0.25">
      <c r="A33" s="58"/>
      <c r="B33" s="59"/>
      <c r="C33" s="66"/>
      <c r="D33" s="61"/>
      <c r="E33" s="62"/>
      <c r="F33" s="62"/>
      <c r="G33" s="91">
        <f t="shared" si="1"/>
        <v>23.699999999999989</v>
      </c>
      <c r="H33" s="92"/>
      <c r="I33" s="92" t="s">
        <v>25</v>
      </c>
    </row>
    <row r="34" spans="1:9" ht="18" customHeight="1" x14ac:dyDescent="0.25">
      <c r="A34" s="58"/>
      <c r="B34" s="59"/>
      <c r="C34" s="66"/>
      <c r="D34" s="61"/>
      <c r="E34" s="62"/>
      <c r="F34" s="62"/>
      <c r="G34" s="91">
        <f t="shared" si="1"/>
        <v>23.699999999999989</v>
      </c>
      <c r="H34" s="92"/>
      <c r="I34" s="92" t="s">
        <v>25</v>
      </c>
    </row>
    <row r="35" spans="1:9" ht="18" customHeight="1" x14ac:dyDescent="0.25">
      <c r="A35" s="58"/>
      <c r="B35" s="59"/>
      <c r="C35" s="66"/>
      <c r="D35" s="61"/>
      <c r="E35" s="62"/>
      <c r="F35" s="62"/>
      <c r="G35" s="91">
        <f t="shared" si="1"/>
        <v>23.699999999999989</v>
      </c>
      <c r="H35" s="92"/>
      <c r="I35" s="92" t="s">
        <v>25</v>
      </c>
    </row>
    <row r="36" spans="1:9" ht="18" customHeight="1" x14ac:dyDescent="0.25">
      <c r="A36" s="58"/>
      <c r="B36" s="59"/>
      <c r="C36" s="66"/>
      <c r="D36" s="61"/>
      <c r="E36" s="62"/>
      <c r="F36" s="62"/>
      <c r="G36" s="91">
        <f t="shared" si="1"/>
        <v>23.699999999999989</v>
      </c>
      <c r="H36" s="92"/>
      <c r="I36" s="92" t="s">
        <v>25</v>
      </c>
    </row>
    <row r="37" spans="1:9" ht="18" customHeight="1" x14ac:dyDescent="0.25">
      <c r="A37" s="58"/>
      <c r="B37" s="59"/>
      <c r="C37" s="66"/>
      <c r="D37" s="61"/>
      <c r="E37" s="62"/>
      <c r="F37" s="62"/>
      <c r="G37" s="91">
        <f t="shared" si="1"/>
        <v>23.699999999999989</v>
      </c>
      <c r="H37" s="92"/>
      <c r="I37" s="92" t="s">
        <v>25</v>
      </c>
    </row>
    <row r="38" spans="1:9" ht="18" customHeight="1" x14ac:dyDescent="0.25">
      <c r="A38" s="58"/>
      <c r="B38" s="59"/>
      <c r="C38" s="66"/>
      <c r="D38" s="61"/>
      <c r="E38" s="62"/>
      <c r="F38" s="99"/>
      <c r="G38" s="91">
        <f t="shared" si="1"/>
        <v>23.699999999999989</v>
      </c>
      <c r="H38" s="92"/>
      <c r="I38" s="92" t="s">
        <v>25</v>
      </c>
    </row>
    <row r="39" spans="1:9" ht="18" customHeight="1" x14ac:dyDescent="0.25">
      <c r="A39" s="58"/>
      <c r="B39" s="59"/>
      <c r="C39" s="66"/>
      <c r="D39" s="61"/>
      <c r="E39" s="62"/>
      <c r="F39" s="99"/>
      <c r="G39" s="91">
        <f t="shared" si="1"/>
        <v>23.699999999999989</v>
      </c>
      <c r="H39" s="92"/>
      <c r="I39" s="92" t="s">
        <v>25</v>
      </c>
    </row>
    <row r="40" spans="1:9" ht="18" customHeight="1" x14ac:dyDescent="0.25">
      <c r="A40" s="58"/>
      <c r="B40" s="59"/>
      <c r="C40" s="66"/>
      <c r="D40" s="61"/>
      <c r="E40" s="62"/>
      <c r="F40" s="99"/>
      <c r="G40" s="91">
        <f t="shared" si="1"/>
        <v>23.699999999999989</v>
      </c>
      <c r="H40" s="92"/>
      <c r="I40" s="92" t="s">
        <v>25</v>
      </c>
    </row>
    <row r="41" spans="1:9" ht="18" customHeight="1" x14ac:dyDescent="0.25">
      <c r="A41" s="58"/>
      <c r="B41" s="59"/>
      <c r="C41" s="66"/>
      <c r="D41" s="61"/>
      <c r="E41" s="62"/>
      <c r="F41" s="99"/>
      <c r="G41" s="91">
        <f t="shared" si="1"/>
        <v>23.699999999999989</v>
      </c>
      <c r="H41" s="92"/>
      <c r="I41" s="92" t="s">
        <v>25</v>
      </c>
    </row>
    <row r="42" spans="1:9" ht="18" customHeight="1" x14ac:dyDescent="0.25">
      <c r="A42" s="58"/>
      <c r="B42" s="59"/>
      <c r="C42" s="66"/>
      <c r="D42" s="61"/>
      <c r="E42" s="62"/>
      <c r="F42" s="99"/>
      <c r="G42" s="91">
        <f t="shared" si="1"/>
        <v>23.699999999999989</v>
      </c>
      <c r="H42" s="92"/>
      <c r="I42" s="92" t="s">
        <v>25</v>
      </c>
    </row>
    <row r="43" spans="1:9" ht="18" customHeight="1" x14ac:dyDescent="0.25">
      <c r="A43" s="58"/>
      <c r="B43" s="59"/>
      <c r="C43" s="66"/>
      <c r="D43" s="61"/>
      <c r="E43" s="62"/>
      <c r="F43" s="99"/>
      <c r="G43" s="91">
        <f t="shared" si="1"/>
        <v>23.699999999999989</v>
      </c>
      <c r="H43" s="92"/>
      <c r="I43" s="92" t="s">
        <v>25</v>
      </c>
    </row>
    <row r="44" spans="1:9" ht="18" customHeight="1" x14ac:dyDescent="0.25">
      <c r="A44" s="58"/>
      <c r="B44" s="59"/>
      <c r="C44" s="66"/>
      <c r="D44" s="61"/>
      <c r="E44" s="62"/>
      <c r="F44" s="99"/>
      <c r="G44" s="91">
        <f t="shared" si="1"/>
        <v>23.699999999999989</v>
      </c>
      <c r="H44" s="92"/>
      <c r="I44" s="92" t="s">
        <v>25</v>
      </c>
    </row>
    <row r="45" spans="1:9" ht="18" customHeight="1" x14ac:dyDescent="0.25">
      <c r="A45" s="58"/>
      <c r="B45" s="59"/>
      <c r="C45" s="66"/>
      <c r="D45" s="61"/>
      <c r="E45" s="62"/>
      <c r="F45" s="99"/>
      <c r="G45" s="91">
        <f t="shared" si="1"/>
        <v>23.699999999999989</v>
      </c>
      <c r="H45" s="92"/>
      <c r="I45" s="92" t="s">
        <v>25</v>
      </c>
    </row>
    <row r="46" spans="1:9" ht="18" customHeight="1" x14ac:dyDescent="0.25">
      <c r="A46" s="58"/>
      <c r="B46" s="59"/>
      <c r="C46" s="66"/>
      <c r="D46" s="61"/>
      <c r="E46" s="62"/>
      <c r="F46" s="99"/>
      <c r="G46" s="91">
        <f t="shared" si="1"/>
        <v>23.699999999999989</v>
      </c>
      <c r="H46" s="92"/>
      <c r="I46" s="92" t="s">
        <v>25</v>
      </c>
    </row>
    <row r="47" spans="1:9" ht="18" customHeight="1" x14ac:dyDescent="0.25">
      <c r="A47" s="58"/>
      <c r="B47" s="59"/>
      <c r="C47" s="66"/>
      <c r="D47" s="61"/>
      <c r="E47" s="62"/>
      <c r="F47" s="99"/>
      <c r="G47" s="91">
        <f t="shared" si="1"/>
        <v>23.699999999999989</v>
      </c>
      <c r="H47" s="92"/>
      <c r="I47" s="92" t="s">
        <v>25</v>
      </c>
    </row>
    <row r="48" spans="1:9" ht="18" customHeight="1" x14ac:dyDescent="0.25">
      <c r="A48" s="58"/>
      <c r="B48" s="59"/>
      <c r="C48" s="66"/>
      <c r="D48" s="61"/>
      <c r="E48" s="62"/>
      <c r="F48" s="99"/>
      <c r="G48" s="91">
        <f t="shared" si="1"/>
        <v>23.699999999999989</v>
      </c>
      <c r="H48" s="92"/>
      <c r="I48" s="92" t="s">
        <v>25</v>
      </c>
    </row>
    <row r="49" spans="1:9" ht="18" customHeight="1" x14ac:dyDescent="0.25">
      <c r="A49" s="58"/>
      <c r="B49" s="59"/>
      <c r="C49" s="66"/>
      <c r="D49" s="61"/>
      <c r="E49" s="62"/>
      <c r="F49" s="99"/>
      <c r="G49" s="91">
        <f t="shared" si="1"/>
        <v>23.699999999999989</v>
      </c>
      <c r="H49" s="92"/>
      <c r="I49" s="92" t="s">
        <v>25</v>
      </c>
    </row>
    <row r="50" spans="1:9" ht="18" customHeight="1" x14ac:dyDescent="0.25">
      <c r="A50" s="58"/>
      <c r="B50" s="59"/>
      <c r="C50" s="66"/>
      <c r="D50" s="61"/>
      <c r="E50" s="62"/>
      <c r="F50" s="99"/>
      <c r="G50" s="91">
        <f t="shared" si="1"/>
        <v>23.699999999999989</v>
      </c>
      <c r="H50" s="92"/>
      <c r="I50" s="92" t="s">
        <v>25</v>
      </c>
    </row>
    <row r="51" spans="1:9" ht="18" customHeight="1" x14ac:dyDescent="0.25">
      <c r="A51" s="58"/>
      <c r="B51" s="59"/>
      <c r="C51" s="66"/>
      <c r="D51" s="61"/>
      <c r="E51" s="62"/>
      <c r="F51" s="99"/>
      <c r="G51" s="91">
        <f t="shared" si="1"/>
        <v>23.699999999999989</v>
      </c>
      <c r="H51" s="92"/>
      <c r="I51" s="92" t="s">
        <v>25</v>
      </c>
    </row>
    <row r="52" spans="1:9" ht="18" customHeight="1" x14ac:dyDescent="0.25">
      <c r="A52" s="58"/>
      <c r="B52" s="59"/>
      <c r="C52" s="66"/>
      <c r="D52" s="61"/>
      <c r="E52" s="62"/>
      <c r="F52" s="99"/>
      <c r="G52" s="91">
        <f t="shared" si="1"/>
        <v>23.699999999999989</v>
      </c>
      <c r="H52" s="92"/>
      <c r="I52" s="92" t="s">
        <v>25</v>
      </c>
    </row>
    <row r="53" spans="1:9" ht="18" customHeight="1" x14ac:dyDescent="0.25">
      <c r="A53" s="58"/>
      <c r="B53" s="59"/>
      <c r="C53" s="66"/>
      <c r="D53" s="61"/>
      <c r="E53" s="62"/>
      <c r="F53" s="99"/>
      <c r="G53" s="91">
        <f t="shared" si="1"/>
        <v>23.699999999999989</v>
      </c>
      <c r="H53" s="92"/>
      <c r="I53" s="92" t="s">
        <v>25</v>
      </c>
    </row>
    <row r="54" spans="1:9" ht="18" customHeight="1" x14ac:dyDescent="0.25">
      <c r="A54" s="58"/>
      <c r="B54" s="59"/>
      <c r="C54" s="66"/>
      <c r="D54" s="61"/>
      <c r="E54" s="62"/>
      <c r="F54" s="99"/>
      <c r="G54" s="91">
        <f t="shared" si="1"/>
        <v>23.699999999999989</v>
      </c>
      <c r="H54" s="92"/>
      <c r="I54" s="92" t="s">
        <v>25</v>
      </c>
    </row>
    <row r="55" spans="1:9" ht="18" customHeight="1" x14ac:dyDescent="0.25">
      <c r="A55" s="58"/>
      <c r="B55" s="59"/>
      <c r="C55" s="66"/>
      <c r="D55" s="61"/>
      <c r="E55" s="62"/>
      <c r="F55" s="99"/>
      <c r="G55" s="91">
        <f t="shared" si="1"/>
        <v>23.699999999999989</v>
      </c>
      <c r="H55" s="92"/>
      <c r="I55" s="92" t="s">
        <v>25</v>
      </c>
    </row>
    <row r="56" spans="1:9" ht="18" customHeight="1" x14ac:dyDescent="0.25">
      <c r="A56" s="58"/>
      <c r="B56" s="59"/>
      <c r="C56" s="66"/>
      <c r="D56" s="61"/>
      <c r="E56" s="62"/>
      <c r="F56" s="116"/>
      <c r="G56" s="91">
        <f t="shared" si="1"/>
        <v>23.699999999999989</v>
      </c>
      <c r="H56" s="92"/>
      <c r="I56" s="92" t="s">
        <v>25</v>
      </c>
    </row>
    <row r="57" spans="1:9" ht="18" customHeight="1" x14ac:dyDescent="0.25">
      <c r="A57" s="58"/>
      <c r="B57" s="59"/>
      <c r="C57" s="66"/>
      <c r="D57" s="61"/>
      <c r="E57" s="62"/>
      <c r="F57" s="116"/>
      <c r="G57" s="91">
        <f t="shared" si="1"/>
        <v>23.699999999999989</v>
      </c>
      <c r="H57" s="92"/>
      <c r="I57" s="92" t="s">
        <v>25</v>
      </c>
    </row>
    <row r="58" spans="1:9" ht="18" customHeight="1" x14ac:dyDescent="0.25">
      <c r="A58" s="58"/>
      <c r="B58" s="59"/>
      <c r="C58" s="66"/>
      <c r="D58" s="61"/>
      <c r="E58" s="62"/>
      <c r="F58" s="116"/>
      <c r="G58" s="91">
        <f t="shared" si="1"/>
        <v>23.699999999999989</v>
      </c>
      <c r="H58" s="92"/>
      <c r="I58" s="92" t="s">
        <v>25</v>
      </c>
    </row>
    <row r="59" spans="1:9" ht="18" customHeight="1" x14ac:dyDescent="0.25">
      <c r="A59" s="58"/>
      <c r="B59" s="59"/>
      <c r="C59" s="66"/>
      <c r="D59" s="61"/>
      <c r="E59" s="62"/>
      <c r="F59" s="116"/>
      <c r="G59" s="91">
        <f t="shared" si="1"/>
        <v>23.699999999999989</v>
      </c>
      <c r="H59" s="92"/>
      <c r="I59" s="92" t="s">
        <v>25</v>
      </c>
    </row>
    <row r="60" spans="1:9" ht="18" customHeight="1" x14ac:dyDescent="0.25">
      <c r="A60" s="58"/>
      <c r="B60" s="59"/>
      <c r="C60" s="66"/>
      <c r="D60" s="61"/>
      <c r="E60" s="62"/>
      <c r="F60" s="116"/>
      <c r="G60" s="91">
        <f t="shared" si="1"/>
        <v>23.699999999999989</v>
      </c>
      <c r="H60" s="92"/>
      <c r="I60" s="92" t="s">
        <v>25</v>
      </c>
    </row>
    <row r="61" spans="1:9" ht="18" customHeight="1" x14ac:dyDescent="0.25">
      <c r="A61" s="58"/>
      <c r="B61" s="59"/>
      <c r="C61" s="66"/>
      <c r="D61" s="61"/>
      <c r="E61" s="62"/>
      <c r="F61" s="116"/>
      <c r="G61" s="91">
        <f t="shared" si="1"/>
        <v>23.699999999999989</v>
      </c>
      <c r="H61" s="92"/>
      <c r="I61" s="92" t="s">
        <v>25</v>
      </c>
    </row>
    <row r="62" spans="1:9" ht="18" customHeight="1" x14ac:dyDescent="0.25">
      <c r="A62" s="58"/>
      <c r="B62" s="59"/>
      <c r="C62" s="66"/>
      <c r="D62" s="61"/>
      <c r="E62" s="62"/>
      <c r="F62" s="116"/>
      <c r="G62" s="91">
        <f t="shared" si="1"/>
        <v>23.699999999999989</v>
      </c>
      <c r="H62" s="92"/>
      <c r="I62" s="92" t="s">
        <v>25</v>
      </c>
    </row>
    <row r="63" spans="1:9" ht="18" customHeight="1" x14ac:dyDescent="0.25">
      <c r="A63" s="58"/>
      <c r="B63" s="59"/>
      <c r="C63" s="66"/>
      <c r="D63" s="61"/>
      <c r="E63" s="62"/>
      <c r="F63" s="116"/>
      <c r="G63" s="91">
        <f t="shared" si="1"/>
        <v>23.699999999999989</v>
      </c>
      <c r="H63" s="92"/>
      <c r="I63" s="92" t="s">
        <v>25</v>
      </c>
    </row>
    <row r="64" spans="1:9" ht="18" customHeight="1" x14ac:dyDescent="0.25">
      <c r="A64" s="58"/>
      <c r="B64" s="59"/>
      <c r="C64" s="66"/>
      <c r="D64" s="61"/>
      <c r="E64" s="62"/>
      <c r="F64" s="116"/>
      <c r="G64" s="91">
        <f t="shared" si="1"/>
        <v>23.699999999999989</v>
      </c>
      <c r="H64" s="92"/>
      <c r="I64" s="92" t="s">
        <v>25</v>
      </c>
    </row>
    <row r="65" spans="1:9" ht="18" customHeight="1" x14ac:dyDescent="0.25">
      <c r="A65" s="58"/>
      <c r="B65" s="59"/>
      <c r="C65" s="66"/>
      <c r="D65" s="61"/>
      <c r="E65" s="62"/>
      <c r="F65" s="116"/>
      <c r="G65" s="91">
        <f t="shared" si="1"/>
        <v>23.699999999999989</v>
      </c>
      <c r="H65" s="92"/>
      <c r="I65" s="92" t="s">
        <v>25</v>
      </c>
    </row>
    <row r="66" spans="1:9" ht="18" customHeight="1" x14ac:dyDescent="0.25">
      <c r="A66" s="58"/>
      <c r="B66" s="59"/>
      <c r="C66" s="66"/>
      <c r="D66" s="61"/>
      <c r="E66" s="62"/>
      <c r="F66" s="116"/>
      <c r="G66" s="91">
        <f t="shared" si="1"/>
        <v>23.699999999999989</v>
      </c>
      <c r="H66" s="92"/>
      <c r="I66" s="92" t="s">
        <v>25</v>
      </c>
    </row>
    <row r="67" spans="1:9" ht="18" customHeight="1" x14ac:dyDescent="0.25">
      <c r="A67" s="58"/>
      <c r="B67" s="59"/>
      <c r="C67" s="66"/>
      <c r="D67" s="61"/>
      <c r="E67" s="62"/>
      <c r="F67" s="116"/>
      <c r="G67" s="91">
        <f t="shared" si="1"/>
        <v>23.699999999999989</v>
      </c>
      <c r="H67" s="92"/>
      <c r="I67" s="92" t="s">
        <v>25</v>
      </c>
    </row>
    <row r="68" spans="1:9" ht="18" customHeight="1" x14ac:dyDescent="0.25">
      <c r="A68" s="58"/>
      <c r="B68" s="59"/>
      <c r="C68" s="66"/>
      <c r="D68" s="61"/>
      <c r="E68" s="62"/>
      <c r="F68" s="116"/>
      <c r="G68" s="91">
        <f t="shared" si="1"/>
        <v>23.699999999999989</v>
      </c>
      <c r="H68" s="92"/>
      <c r="I68" s="92" t="s">
        <v>25</v>
      </c>
    </row>
    <row r="69" spans="1:9" ht="18" customHeight="1" x14ac:dyDescent="0.25">
      <c r="A69" s="58"/>
      <c r="B69" s="59"/>
      <c r="C69" s="66"/>
      <c r="D69" s="61"/>
      <c r="E69" s="62"/>
      <c r="F69" s="116"/>
      <c r="G69" s="91">
        <f t="shared" si="1"/>
        <v>23.699999999999989</v>
      </c>
      <c r="H69" s="92"/>
      <c r="I69" s="92" t="s">
        <v>25</v>
      </c>
    </row>
    <row r="70" spans="1:9" ht="18" customHeight="1" x14ac:dyDescent="0.25">
      <c r="A70" s="58"/>
      <c r="B70" s="59"/>
      <c r="C70" s="66"/>
      <c r="D70" s="61"/>
      <c r="E70" s="62"/>
      <c r="F70" s="116"/>
      <c r="G70" s="91">
        <f t="shared" si="1"/>
        <v>23.699999999999989</v>
      </c>
      <c r="H70" s="92"/>
      <c r="I70" s="92" t="s">
        <v>25</v>
      </c>
    </row>
    <row r="71" spans="1:9" ht="18" customHeight="1" x14ac:dyDescent="0.25">
      <c r="A71" s="58"/>
      <c r="B71" s="59"/>
      <c r="C71" s="66"/>
      <c r="D71" s="61"/>
      <c r="E71" s="62"/>
      <c r="F71" s="116"/>
      <c r="G71" s="91">
        <f t="shared" si="1"/>
        <v>23.699999999999989</v>
      </c>
      <c r="H71" s="92"/>
      <c r="I71" s="92" t="s">
        <v>25</v>
      </c>
    </row>
    <row r="72" spans="1:9" ht="18" customHeight="1" x14ac:dyDescent="0.25">
      <c r="A72" s="58"/>
      <c r="B72" s="59"/>
      <c r="C72" s="66"/>
      <c r="D72" s="61"/>
      <c r="E72" s="62"/>
      <c r="F72" s="116"/>
      <c r="G72" s="91">
        <f t="shared" si="1"/>
        <v>23.699999999999989</v>
      </c>
      <c r="H72" s="92"/>
      <c r="I72" s="92" t="s">
        <v>25</v>
      </c>
    </row>
    <row r="73" spans="1:9" ht="18" customHeight="1" x14ac:dyDescent="0.25">
      <c r="A73" s="58"/>
      <c r="B73" s="59"/>
      <c r="C73" s="66"/>
      <c r="D73" s="61"/>
      <c r="E73" s="62"/>
      <c r="F73" s="116"/>
      <c r="G73" s="91">
        <f t="shared" si="1"/>
        <v>23.699999999999989</v>
      </c>
      <c r="H73" s="92"/>
      <c r="I73" s="92"/>
    </row>
    <row r="74" spans="1:9" ht="18" customHeight="1" x14ac:dyDescent="0.25">
      <c r="A74" s="58"/>
      <c r="B74" s="59"/>
      <c r="C74" s="66"/>
      <c r="D74" s="61"/>
      <c r="E74" s="62"/>
      <c r="F74" s="116"/>
      <c r="G74" s="91">
        <f t="shared" si="1"/>
        <v>23.699999999999989</v>
      </c>
      <c r="H74" s="92"/>
      <c r="I74" s="92"/>
    </row>
    <row r="75" spans="1:9" ht="18" customHeight="1" x14ac:dyDescent="0.25">
      <c r="A75" s="58"/>
      <c r="B75" s="59"/>
      <c r="C75" s="66"/>
      <c r="D75" s="61"/>
      <c r="E75" s="62"/>
      <c r="F75" s="116"/>
      <c r="G75" s="91">
        <f t="shared" si="1"/>
        <v>23.699999999999989</v>
      </c>
      <c r="H75" s="92"/>
      <c r="I75" s="92"/>
    </row>
    <row r="76" spans="1:9" ht="18" customHeight="1" x14ac:dyDescent="0.25">
      <c r="A76" s="58"/>
      <c r="B76" s="59"/>
      <c r="C76" s="66"/>
      <c r="D76" s="61"/>
      <c r="E76" s="62"/>
      <c r="F76" s="116"/>
      <c r="G76" s="91">
        <f t="shared" si="1"/>
        <v>23.699999999999989</v>
      </c>
      <c r="H76" s="92"/>
      <c r="I76" s="92"/>
    </row>
    <row r="77" spans="1:9" ht="18" customHeight="1" x14ac:dyDescent="0.25">
      <c r="A77" s="58"/>
      <c r="B77" s="59"/>
      <c r="C77" s="66"/>
      <c r="D77" s="61"/>
      <c r="E77" s="62"/>
      <c r="F77" s="116"/>
      <c r="G77" s="91">
        <f t="shared" si="1"/>
        <v>23.699999999999989</v>
      </c>
      <c r="H77" s="92"/>
      <c r="I77" s="92"/>
    </row>
    <row r="78" spans="1:9" ht="18" customHeight="1" x14ac:dyDescent="0.25">
      <c r="A78" s="58"/>
      <c r="B78" s="59"/>
      <c r="C78" s="66"/>
      <c r="D78" s="61"/>
      <c r="E78" s="62"/>
      <c r="F78" s="116"/>
      <c r="G78" s="91">
        <f t="shared" si="1"/>
        <v>23.699999999999989</v>
      </c>
      <c r="H78" s="92"/>
      <c r="I78" s="92"/>
    </row>
    <row r="79" spans="1:9" ht="18" customHeight="1" x14ac:dyDescent="0.25">
      <c r="A79" s="58"/>
      <c r="B79" s="59"/>
      <c r="C79" s="66"/>
      <c r="D79" s="61"/>
      <c r="E79" s="62"/>
      <c r="F79" s="116"/>
      <c r="G79" s="91">
        <f t="shared" si="1"/>
        <v>23.699999999999989</v>
      </c>
      <c r="H79" s="92"/>
      <c r="I79" s="92"/>
    </row>
    <row r="80" spans="1:9" s="131" customFormat="1" ht="18" customHeight="1" x14ac:dyDescent="0.25">
      <c r="A80" s="125"/>
      <c r="B80" s="126"/>
      <c r="C80" s="66"/>
      <c r="D80" s="127"/>
      <c r="E80" s="128"/>
      <c r="F80" s="129"/>
      <c r="G80" s="91">
        <f t="shared" si="1"/>
        <v>23.699999999999989</v>
      </c>
      <c r="H80" s="92"/>
      <c r="I80" s="130"/>
    </row>
    <row r="81" spans="1:9" ht="18" customHeight="1" x14ac:dyDescent="0.25">
      <c r="A81" s="58"/>
      <c r="B81" s="59"/>
      <c r="C81" s="66"/>
      <c r="D81" s="61"/>
      <c r="E81" s="62"/>
      <c r="F81" s="116"/>
      <c r="G81" s="91">
        <f t="shared" si="1"/>
        <v>23.699999999999989</v>
      </c>
      <c r="H81" s="92"/>
      <c r="I81" s="130"/>
    </row>
    <row r="82" spans="1:9" ht="18" customHeight="1" x14ac:dyDescent="0.25">
      <c r="A82" s="58"/>
      <c r="B82" s="59"/>
      <c r="C82" s="66"/>
      <c r="D82" s="61"/>
      <c r="E82" s="62"/>
      <c r="F82" s="116"/>
      <c r="G82" s="91">
        <f t="shared" si="1"/>
        <v>23.699999999999989</v>
      </c>
      <c r="H82" s="92"/>
      <c r="I82" s="92"/>
    </row>
    <row r="83" spans="1:9" ht="18" customHeight="1" x14ac:dyDescent="0.25">
      <c r="A83" s="58"/>
      <c r="B83" s="59"/>
      <c r="C83" s="66"/>
      <c r="D83" s="61"/>
      <c r="E83" s="62"/>
      <c r="F83" s="116"/>
      <c r="G83" s="91">
        <f t="shared" si="1"/>
        <v>23.699999999999989</v>
      </c>
      <c r="H83" s="92"/>
      <c r="I83" s="92"/>
    </row>
    <row r="84" spans="1:9" ht="18" customHeight="1" x14ac:dyDescent="0.25">
      <c r="A84" s="58"/>
      <c r="B84" s="59"/>
      <c r="C84" s="66"/>
      <c r="D84" s="61"/>
      <c r="E84" s="62"/>
      <c r="F84" s="116"/>
      <c r="G84" s="91">
        <f t="shared" si="1"/>
        <v>23.699999999999989</v>
      </c>
      <c r="H84" s="92"/>
      <c r="I84" s="92"/>
    </row>
    <row r="85" spans="1:9" ht="18" customHeight="1" x14ac:dyDescent="0.25">
      <c r="A85" s="58"/>
      <c r="B85" s="59"/>
      <c r="C85" s="66"/>
      <c r="D85" s="61"/>
      <c r="E85" s="62"/>
      <c r="F85" s="116"/>
      <c r="G85" s="91">
        <f t="shared" si="1"/>
        <v>23.699999999999989</v>
      </c>
      <c r="H85" s="92"/>
      <c r="I85" s="92"/>
    </row>
    <row r="86" spans="1:9" ht="18" customHeight="1" x14ac:dyDescent="0.25">
      <c r="A86" s="58"/>
      <c r="B86" s="59"/>
      <c r="C86" s="66"/>
      <c r="D86" s="61"/>
      <c r="E86" s="62"/>
      <c r="F86" s="116"/>
      <c r="G86" s="91">
        <f t="shared" si="1"/>
        <v>23.699999999999989</v>
      </c>
      <c r="H86" s="92"/>
      <c r="I86" s="92"/>
    </row>
    <row r="87" spans="1:9" ht="18" customHeight="1" x14ac:dyDescent="0.25">
      <c r="A87" s="58"/>
      <c r="B87" s="59"/>
      <c r="C87" s="66"/>
      <c r="D87" s="61"/>
      <c r="E87" s="62"/>
      <c r="F87" s="116"/>
      <c r="G87" s="91">
        <f t="shared" si="1"/>
        <v>23.699999999999989</v>
      </c>
      <c r="H87" s="92"/>
      <c r="I87" s="92"/>
    </row>
    <row r="88" spans="1:9" ht="18" customHeight="1" x14ac:dyDescent="0.25">
      <c r="A88" s="58"/>
      <c r="B88" s="59"/>
      <c r="C88" s="66"/>
      <c r="D88" s="61"/>
      <c r="E88" s="62"/>
      <c r="F88" s="116"/>
      <c r="G88" s="91">
        <f t="shared" si="1"/>
        <v>23.699999999999989</v>
      </c>
      <c r="H88" s="92"/>
      <c r="I88" s="92"/>
    </row>
    <row r="89" spans="1:9" ht="18" customHeight="1" x14ac:dyDescent="0.25">
      <c r="A89" s="58"/>
      <c r="B89" s="59"/>
      <c r="C89" s="66"/>
      <c r="D89" s="61"/>
      <c r="E89" s="62"/>
      <c r="F89" s="116"/>
      <c r="G89" s="91">
        <f t="shared" si="1"/>
        <v>23.699999999999989</v>
      </c>
      <c r="H89" s="92"/>
      <c r="I89" s="92"/>
    </row>
    <row r="90" spans="1:9" ht="18" customHeight="1" x14ac:dyDescent="0.25">
      <c r="A90" s="58"/>
      <c r="B90" s="59"/>
      <c r="C90" s="66"/>
      <c r="D90" s="61"/>
      <c r="E90" s="62"/>
      <c r="F90" s="116"/>
      <c r="G90" s="91">
        <f t="shared" si="1"/>
        <v>23.699999999999989</v>
      </c>
      <c r="H90" s="92"/>
      <c r="I90" s="92"/>
    </row>
    <row r="91" spans="1:9" ht="18" customHeight="1" x14ac:dyDescent="0.25">
      <c r="A91" s="58"/>
      <c r="B91" s="59"/>
      <c r="C91" s="66"/>
      <c r="D91" s="61"/>
      <c r="E91" s="62"/>
      <c r="F91" s="116"/>
      <c r="G91" s="91">
        <f t="shared" si="1"/>
        <v>23.699999999999989</v>
      </c>
      <c r="H91" s="92"/>
      <c r="I91" s="92"/>
    </row>
    <row r="92" spans="1:9" ht="18" customHeight="1" x14ac:dyDescent="0.25">
      <c r="A92" s="58"/>
      <c r="B92" s="59"/>
      <c r="C92" s="66"/>
      <c r="D92" s="61"/>
      <c r="E92" s="62"/>
      <c r="F92" s="116"/>
      <c r="G92" s="91">
        <f t="shared" si="1"/>
        <v>23.699999999999989</v>
      </c>
      <c r="H92" s="92"/>
      <c r="I92" s="92"/>
    </row>
    <row r="93" spans="1:9" ht="18" customHeight="1" x14ac:dyDescent="0.25">
      <c r="A93" s="58"/>
      <c r="B93" s="59"/>
      <c r="C93" s="66"/>
      <c r="D93" s="61"/>
      <c r="E93" s="62"/>
      <c r="F93" s="116"/>
      <c r="G93" s="91">
        <f t="shared" si="1"/>
        <v>23.699999999999989</v>
      </c>
      <c r="H93" s="92"/>
      <c r="I93" s="92"/>
    </row>
    <row r="94" spans="1:9" ht="18" customHeight="1" x14ac:dyDescent="0.25">
      <c r="A94" s="58"/>
      <c r="B94" s="59"/>
      <c r="C94" s="66"/>
      <c r="D94" s="61"/>
      <c r="E94" s="62"/>
      <c r="F94" s="116"/>
      <c r="G94" s="91">
        <f t="shared" ref="G94:G150" si="2">+G93+E94-F94</f>
        <v>23.699999999999989</v>
      </c>
      <c r="H94" s="92"/>
      <c r="I94" s="92"/>
    </row>
    <row r="95" spans="1:9" ht="18" customHeight="1" x14ac:dyDescent="0.25">
      <c r="A95" s="58"/>
      <c r="B95" s="59"/>
      <c r="C95" s="66"/>
      <c r="D95" s="61"/>
      <c r="E95" s="62"/>
      <c r="F95" s="116"/>
      <c r="G95" s="91">
        <f t="shared" si="2"/>
        <v>23.699999999999989</v>
      </c>
      <c r="H95" s="92"/>
      <c r="I95" s="92"/>
    </row>
    <row r="96" spans="1:9" ht="18" customHeight="1" x14ac:dyDescent="0.25">
      <c r="A96" s="58"/>
      <c r="B96" s="59"/>
      <c r="C96" s="66"/>
      <c r="D96" s="61"/>
      <c r="E96" s="62"/>
      <c r="F96" s="116"/>
      <c r="G96" s="91">
        <f t="shared" si="2"/>
        <v>23.699999999999989</v>
      </c>
      <c r="H96" s="92"/>
      <c r="I96" s="92"/>
    </row>
    <row r="97" spans="1:9" ht="18" customHeight="1" x14ac:dyDescent="0.25">
      <c r="A97" s="58"/>
      <c r="B97" s="59"/>
      <c r="C97" s="66"/>
      <c r="D97" s="61"/>
      <c r="E97" s="62"/>
      <c r="F97" s="116"/>
      <c r="G97" s="91">
        <f t="shared" si="2"/>
        <v>23.699999999999989</v>
      </c>
      <c r="H97" s="92"/>
      <c r="I97" s="95"/>
    </row>
    <row r="98" spans="1:9" ht="18" customHeight="1" x14ac:dyDescent="0.25">
      <c r="A98" s="58"/>
      <c r="B98" s="59"/>
      <c r="C98" s="66"/>
      <c r="D98" s="61"/>
      <c r="E98" s="62"/>
      <c r="F98" s="116"/>
      <c r="G98" s="91">
        <f t="shared" si="2"/>
        <v>23.699999999999989</v>
      </c>
      <c r="H98" s="92"/>
      <c r="I98" s="95"/>
    </row>
    <row r="99" spans="1:9" ht="18" customHeight="1" x14ac:dyDescent="0.25">
      <c r="A99" s="58"/>
      <c r="B99" s="59"/>
      <c r="C99" s="66"/>
      <c r="D99" s="61"/>
      <c r="E99" s="62"/>
      <c r="F99" s="116"/>
      <c r="G99" s="91">
        <f t="shared" si="2"/>
        <v>23.699999999999989</v>
      </c>
      <c r="H99" s="92"/>
      <c r="I99" s="95"/>
    </row>
    <row r="100" spans="1:9" ht="18" customHeight="1" x14ac:dyDescent="0.25">
      <c r="A100" s="58"/>
      <c r="B100" s="59"/>
      <c r="C100" s="66"/>
      <c r="D100" s="61"/>
      <c r="E100" s="62"/>
      <c r="F100" s="116"/>
      <c r="G100" s="91">
        <f t="shared" si="2"/>
        <v>23.699999999999989</v>
      </c>
      <c r="H100" s="92"/>
      <c r="I100" s="95"/>
    </row>
    <row r="101" spans="1:9" ht="18" customHeight="1" x14ac:dyDescent="0.25">
      <c r="A101" s="58"/>
      <c r="B101" s="59"/>
      <c r="C101" s="66"/>
      <c r="D101" s="61"/>
      <c r="E101" s="62"/>
      <c r="F101" s="116"/>
      <c r="G101" s="91">
        <f t="shared" si="2"/>
        <v>23.699999999999989</v>
      </c>
      <c r="H101" s="92"/>
      <c r="I101" s="95"/>
    </row>
    <row r="102" spans="1:9" ht="18" customHeight="1" x14ac:dyDescent="0.25">
      <c r="A102" s="58"/>
      <c r="B102" s="59"/>
      <c r="C102" s="66"/>
      <c r="D102" s="61"/>
      <c r="E102" s="62"/>
      <c r="F102" s="116"/>
      <c r="G102" s="91">
        <f t="shared" si="2"/>
        <v>23.699999999999989</v>
      </c>
      <c r="H102" s="92"/>
      <c r="I102" s="95"/>
    </row>
    <row r="103" spans="1:9" ht="18" customHeight="1" x14ac:dyDescent="0.25">
      <c r="A103" s="58"/>
      <c r="B103" s="59"/>
      <c r="C103" s="66"/>
      <c r="D103" s="61"/>
      <c r="E103" s="62"/>
      <c r="F103" s="116"/>
      <c r="G103" s="91">
        <f t="shared" si="2"/>
        <v>23.699999999999989</v>
      </c>
      <c r="H103" s="92"/>
      <c r="I103" s="95"/>
    </row>
    <row r="104" spans="1:9" ht="18" customHeight="1" x14ac:dyDescent="0.25">
      <c r="A104" s="58"/>
      <c r="B104" s="59"/>
      <c r="C104" s="66"/>
      <c r="D104" s="61"/>
      <c r="E104" s="62"/>
      <c r="F104" s="116"/>
      <c r="G104" s="91">
        <f t="shared" si="2"/>
        <v>23.699999999999989</v>
      </c>
      <c r="H104" s="92"/>
      <c r="I104" s="95"/>
    </row>
    <row r="105" spans="1:9" ht="18" customHeight="1" x14ac:dyDescent="0.25">
      <c r="A105" s="58"/>
      <c r="B105" s="59"/>
      <c r="C105" s="66"/>
      <c r="D105" s="61"/>
      <c r="E105" s="62"/>
      <c r="F105" s="116"/>
      <c r="G105" s="91">
        <f t="shared" si="2"/>
        <v>23.699999999999989</v>
      </c>
      <c r="H105" s="92"/>
      <c r="I105" s="95"/>
    </row>
    <row r="106" spans="1:9" ht="18" customHeight="1" x14ac:dyDescent="0.25">
      <c r="A106" s="58"/>
      <c r="B106" s="59"/>
      <c r="C106" s="66"/>
      <c r="D106" s="61"/>
      <c r="E106" s="62"/>
      <c r="F106" s="116"/>
      <c r="G106" s="91">
        <f t="shared" si="2"/>
        <v>23.699999999999989</v>
      </c>
      <c r="H106" s="92"/>
      <c r="I106" s="95"/>
    </row>
    <row r="107" spans="1:9" ht="18" customHeight="1" x14ac:dyDescent="0.25">
      <c r="A107" s="58"/>
      <c r="B107" s="59"/>
      <c r="C107" s="66"/>
      <c r="D107" s="61"/>
      <c r="E107" s="62"/>
      <c r="F107" s="116"/>
      <c r="G107" s="91">
        <f t="shared" si="2"/>
        <v>23.699999999999989</v>
      </c>
      <c r="H107" s="92"/>
      <c r="I107" s="95"/>
    </row>
    <row r="108" spans="1:9" ht="18" customHeight="1" x14ac:dyDescent="0.25">
      <c r="A108" s="58"/>
      <c r="B108" s="59"/>
      <c r="C108" s="66"/>
      <c r="D108" s="61"/>
      <c r="E108" s="62"/>
      <c r="F108" s="116"/>
      <c r="G108" s="91">
        <f t="shared" si="2"/>
        <v>23.699999999999989</v>
      </c>
      <c r="H108" s="92"/>
      <c r="I108" s="95"/>
    </row>
    <row r="109" spans="1:9" ht="18" customHeight="1" x14ac:dyDescent="0.25">
      <c r="A109" s="58"/>
      <c r="B109" s="59"/>
      <c r="C109" s="66"/>
      <c r="D109" s="61"/>
      <c r="E109" s="62"/>
      <c r="F109" s="116"/>
      <c r="G109" s="91">
        <f t="shared" si="2"/>
        <v>23.699999999999989</v>
      </c>
      <c r="H109" s="92"/>
      <c r="I109" s="95"/>
    </row>
    <row r="110" spans="1:9" ht="18" customHeight="1" x14ac:dyDescent="0.25">
      <c r="A110" s="58"/>
      <c r="B110" s="59"/>
      <c r="C110" s="66"/>
      <c r="D110" s="61"/>
      <c r="E110" s="62"/>
      <c r="F110" s="116"/>
      <c r="G110" s="91">
        <f t="shared" si="2"/>
        <v>23.699999999999989</v>
      </c>
      <c r="H110" s="92"/>
      <c r="I110" s="95"/>
    </row>
    <row r="111" spans="1:9" ht="18" customHeight="1" x14ac:dyDescent="0.25">
      <c r="A111" s="58"/>
      <c r="B111" s="59"/>
      <c r="C111" s="66"/>
      <c r="D111" s="61"/>
      <c r="E111" s="62"/>
      <c r="F111" s="116"/>
      <c r="G111" s="91">
        <f t="shared" si="2"/>
        <v>23.699999999999989</v>
      </c>
      <c r="H111" s="92"/>
      <c r="I111" s="95"/>
    </row>
    <row r="112" spans="1:9" ht="18" customHeight="1" x14ac:dyDescent="0.25">
      <c r="A112" s="58"/>
      <c r="B112" s="59"/>
      <c r="C112" s="66"/>
      <c r="D112" s="61"/>
      <c r="E112" s="62"/>
      <c r="F112" s="116"/>
      <c r="G112" s="91">
        <f t="shared" si="2"/>
        <v>23.699999999999989</v>
      </c>
      <c r="H112" s="92"/>
      <c r="I112" s="95"/>
    </row>
    <row r="113" spans="1:9" ht="18" customHeight="1" x14ac:dyDescent="0.25">
      <c r="A113" s="58"/>
      <c r="B113" s="59"/>
      <c r="C113" s="66"/>
      <c r="D113" s="61"/>
      <c r="E113" s="62"/>
      <c r="F113" s="116"/>
      <c r="G113" s="91">
        <f t="shared" si="2"/>
        <v>23.699999999999989</v>
      </c>
      <c r="H113" s="92"/>
      <c r="I113" s="95"/>
    </row>
    <row r="114" spans="1:9" ht="18" customHeight="1" x14ac:dyDescent="0.25">
      <c r="A114" s="58"/>
      <c r="B114" s="59"/>
      <c r="C114" s="66"/>
      <c r="D114" s="61"/>
      <c r="E114" s="62"/>
      <c r="F114" s="116"/>
      <c r="G114" s="91">
        <f t="shared" si="2"/>
        <v>23.699999999999989</v>
      </c>
      <c r="H114" s="92"/>
      <c r="I114" s="95"/>
    </row>
    <row r="115" spans="1:9" ht="18" customHeight="1" x14ac:dyDescent="0.25">
      <c r="A115" s="58"/>
      <c r="B115" s="59"/>
      <c r="C115" s="66"/>
      <c r="D115" s="61"/>
      <c r="E115" s="62"/>
      <c r="F115" s="116"/>
      <c r="G115" s="91">
        <f t="shared" si="2"/>
        <v>23.699999999999989</v>
      </c>
      <c r="H115" s="92"/>
      <c r="I115" s="95"/>
    </row>
    <row r="116" spans="1:9" ht="18" customHeight="1" x14ac:dyDescent="0.25">
      <c r="A116" s="58"/>
      <c r="B116" s="59"/>
      <c r="C116" s="66"/>
      <c r="D116" s="61"/>
      <c r="E116" s="62"/>
      <c r="F116" s="116"/>
      <c r="G116" s="91">
        <f t="shared" si="2"/>
        <v>23.699999999999989</v>
      </c>
      <c r="H116" s="92"/>
      <c r="I116" s="95"/>
    </row>
    <row r="117" spans="1:9" ht="18" customHeight="1" x14ac:dyDescent="0.25">
      <c r="A117" s="58"/>
      <c r="B117" s="59"/>
      <c r="C117" s="66"/>
      <c r="D117" s="61"/>
      <c r="E117" s="62"/>
      <c r="F117" s="116"/>
      <c r="G117" s="91">
        <f t="shared" si="2"/>
        <v>23.699999999999989</v>
      </c>
      <c r="H117" s="92"/>
      <c r="I117" s="95"/>
    </row>
    <row r="118" spans="1:9" ht="18" customHeight="1" x14ac:dyDescent="0.25">
      <c r="A118" s="58"/>
      <c r="B118" s="59"/>
      <c r="C118" s="66"/>
      <c r="D118" s="61"/>
      <c r="E118" s="62"/>
      <c r="F118" s="116"/>
      <c r="G118" s="91">
        <f t="shared" si="2"/>
        <v>23.699999999999989</v>
      </c>
      <c r="H118" s="92"/>
      <c r="I118" s="95"/>
    </row>
    <row r="119" spans="1:9" ht="18" customHeight="1" x14ac:dyDescent="0.25">
      <c r="A119" s="58"/>
      <c r="B119" s="59"/>
      <c r="C119" s="66"/>
      <c r="D119" s="61"/>
      <c r="E119" s="62"/>
      <c r="F119" s="116"/>
      <c r="G119" s="91">
        <f t="shared" si="2"/>
        <v>23.699999999999989</v>
      </c>
      <c r="H119" s="92"/>
      <c r="I119" s="95"/>
    </row>
    <row r="120" spans="1:9" ht="18" customHeight="1" x14ac:dyDescent="0.25">
      <c r="A120" s="58"/>
      <c r="B120" s="59"/>
      <c r="C120" s="66"/>
      <c r="D120" s="61"/>
      <c r="E120" s="62"/>
      <c r="F120" s="116"/>
      <c r="G120" s="91">
        <f t="shared" si="2"/>
        <v>23.699999999999989</v>
      </c>
      <c r="H120" s="92"/>
      <c r="I120" s="95"/>
    </row>
    <row r="121" spans="1:9" ht="18" customHeight="1" x14ac:dyDescent="0.25">
      <c r="A121" s="58"/>
      <c r="B121" s="59"/>
      <c r="C121" s="66"/>
      <c r="D121" s="61"/>
      <c r="E121" s="62"/>
      <c r="F121" s="116"/>
      <c r="G121" s="91">
        <f t="shared" si="2"/>
        <v>23.699999999999989</v>
      </c>
      <c r="H121" s="92"/>
      <c r="I121" s="95"/>
    </row>
    <row r="122" spans="1:9" ht="18" customHeight="1" x14ac:dyDescent="0.25">
      <c r="A122" s="58"/>
      <c r="B122" s="59"/>
      <c r="C122" s="66"/>
      <c r="D122" s="61"/>
      <c r="E122" s="62"/>
      <c r="F122" s="116"/>
      <c r="G122" s="91">
        <f t="shared" si="2"/>
        <v>23.699999999999989</v>
      </c>
      <c r="H122" s="92"/>
      <c r="I122" s="95"/>
    </row>
    <row r="123" spans="1:9" ht="18" customHeight="1" x14ac:dyDescent="0.25">
      <c r="A123" s="58"/>
      <c r="B123" s="59"/>
      <c r="C123" s="66"/>
      <c r="D123" s="61"/>
      <c r="E123" s="62"/>
      <c r="F123" s="116"/>
      <c r="G123" s="91">
        <f t="shared" si="2"/>
        <v>23.699999999999989</v>
      </c>
      <c r="H123" s="92"/>
      <c r="I123" s="95"/>
    </row>
    <row r="124" spans="1:9" ht="18" customHeight="1" x14ac:dyDescent="0.25">
      <c r="A124" s="58"/>
      <c r="B124" s="59"/>
      <c r="C124" s="66"/>
      <c r="D124" s="61"/>
      <c r="E124" s="62"/>
      <c r="F124" s="116"/>
      <c r="G124" s="91">
        <f t="shared" si="2"/>
        <v>23.699999999999989</v>
      </c>
      <c r="H124" s="92"/>
      <c r="I124" s="95"/>
    </row>
    <row r="125" spans="1:9" ht="18" customHeight="1" x14ac:dyDescent="0.25">
      <c r="A125" s="58"/>
      <c r="B125" s="59"/>
      <c r="C125" s="66"/>
      <c r="D125" s="61"/>
      <c r="E125" s="62"/>
      <c r="F125" s="116"/>
      <c r="G125" s="91">
        <f t="shared" si="2"/>
        <v>23.699999999999989</v>
      </c>
      <c r="H125" s="92"/>
      <c r="I125" s="95"/>
    </row>
    <row r="126" spans="1:9" ht="18" customHeight="1" x14ac:dyDescent="0.25">
      <c r="A126" s="58"/>
      <c r="B126" s="59"/>
      <c r="C126" s="66"/>
      <c r="D126" s="61"/>
      <c r="E126" s="62"/>
      <c r="F126" s="116"/>
      <c r="G126" s="91">
        <f t="shared" si="2"/>
        <v>23.699999999999989</v>
      </c>
      <c r="H126" s="92"/>
      <c r="I126" s="95"/>
    </row>
    <row r="127" spans="1:9" ht="18" customHeight="1" x14ac:dyDescent="0.25">
      <c r="A127" s="58"/>
      <c r="B127" s="59"/>
      <c r="C127" s="66"/>
      <c r="D127" s="61"/>
      <c r="E127" s="62"/>
      <c r="F127" s="116"/>
      <c r="G127" s="91">
        <f t="shared" si="2"/>
        <v>23.699999999999989</v>
      </c>
      <c r="H127" s="92"/>
      <c r="I127" s="95"/>
    </row>
    <row r="128" spans="1:9" ht="18" customHeight="1" x14ac:dyDescent="0.25">
      <c r="A128" s="58"/>
      <c r="B128" s="59"/>
      <c r="C128" s="66"/>
      <c r="D128" s="61"/>
      <c r="E128" s="62"/>
      <c r="F128" s="116"/>
      <c r="G128" s="91">
        <f t="shared" si="2"/>
        <v>23.699999999999989</v>
      </c>
      <c r="H128" s="92"/>
      <c r="I128" s="95"/>
    </row>
    <row r="129" spans="1:11" ht="18" customHeight="1" x14ac:dyDescent="0.25">
      <c r="A129" s="58"/>
      <c r="B129" s="59"/>
      <c r="C129" s="66"/>
      <c r="D129" s="61"/>
      <c r="E129" s="62"/>
      <c r="F129" s="116"/>
      <c r="G129" s="91">
        <f t="shared" si="2"/>
        <v>23.699999999999989</v>
      </c>
      <c r="H129" s="92"/>
      <c r="I129" s="95"/>
    </row>
    <row r="130" spans="1:11" ht="18" customHeight="1" x14ac:dyDescent="0.25">
      <c r="A130" s="58"/>
      <c r="B130" s="59"/>
      <c r="C130" s="66"/>
      <c r="D130" s="61"/>
      <c r="E130" s="62"/>
      <c r="F130" s="116"/>
      <c r="G130" s="91">
        <f t="shared" si="2"/>
        <v>23.699999999999989</v>
      </c>
      <c r="H130" s="92"/>
      <c r="I130" s="95"/>
    </row>
    <row r="131" spans="1:11" ht="18" customHeight="1" x14ac:dyDescent="0.25">
      <c r="A131" s="58"/>
      <c r="B131" s="59"/>
      <c r="C131" s="66"/>
      <c r="D131" s="61"/>
      <c r="E131" s="62"/>
      <c r="F131" s="116"/>
      <c r="G131" s="91">
        <f t="shared" si="2"/>
        <v>23.699999999999989</v>
      </c>
      <c r="H131" s="92"/>
      <c r="I131" s="95"/>
    </row>
    <row r="132" spans="1:11" ht="18" customHeight="1" x14ac:dyDescent="0.25">
      <c r="A132" s="58"/>
      <c r="B132" s="59"/>
      <c r="C132" s="66"/>
      <c r="D132" s="61"/>
      <c r="E132" s="62"/>
      <c r="F132" s="116"/>
      <c r="G132" s="91">
        <f t="shared" si="2"/>
        <v>23.699999999999989</v>
      </c>
      <c r="H132" s="92"/>
      <c r="I132" s="95"/>
    </row>
    <row r="133" spans="1:11" ht="18" customHeight="1" x14ac:dyDescent="0.25">
      <c r="A133" s="58"/>
      <c r="B133" s="59"/>
      <c r="C133" s="66"/>
      <c r="D133" s="61"/>
      <c r="E133" s="62"/>
      <c r="F133" s="116"/>
      <c r="G133" s="91">
        <f t="shared" si="2"/>
        <v>23.699999999999989</v>
      </c>
      <c r="H133" s="92"/>
      <c r="I133" s="95"/>
    </row>
    <row r="134" spans="1:11" ht="18" customHeight="1" x14ac:dyDescent="0.25">
      <c r="A134" s="58"/>
      <c r="B134" s="59"/>
      <c r="C134" s="66"/>
      <c r="D134" s="65"/>
      <c r="E134" s="62"/>
      <c r="F134" s="116"/>
      <c r="G134" s="91">
        <f t="shared" si="2"/>
        <v>23.699999999999989</v>
      </c>
      <c r="H134" s="92"/>
      <c r="I134" s="95"/>
    </row>
    <row r="135" spans="1:11" ht="18" customHeight="1" x14ac:dyDescent="0.25">
      <c r="A135" s="58"/>
      <c r="B135" s="59"/>
      <c r="C135" s="66"/>
      <c r="D135" s="65"/>
      <c r="E135" s="62"/>
      <c r="F135" s="116"/>
      <c r="G135" s="91">
        <f t="shared" si="2"/>
        <v>23.699999999999989</v>
      </c>
      <c r="H135" s="92"/>
      <c r="I135" s="95"/>
    </row>
    <row r="136" spans="1:11" ht="18" customHeight="1" x14ac:dyDescent="0.25">
      <c r="A136" s="58"/>
      <c r="B136" s="59"/>
      <c r="C136" s="66"/>
      <c r="D136" s="65"/>
      <c r="E136" s="62"/>
      <c r="F136" s="116"/>
      <c r="G136" s="91">
        <f t="shared" si="2"/>
        <v>23.699999999999989</v>
      </c>
      <c r="H136" s="92"/>
      <c r="I136" s="95"/>
    </row>
    <row r="137" spans="1:11" ht="18" customHeight="1" x14ac:dyDescent="0.25">
      <c r="A137" s="58"/>
      <c r="B137" s="59"/>
      <c r="C137" s="66"/>
      <c r="D137" s="65"/>
      <c r="E137" s="62"/>
      <c r="F137" s="116"/>
      <c r="G137" s="91">
        <f t="shared" si="2"/>
        <v>23.699999999999989</v>
      </c>
      <c r="H137" s="92"/>
      <c r="I137" s="95"/>
    </row>
    <row r="138" spans="1:11" ht="18" customHeight="1" x14ac:dyDescent="0.25">
      <c r="A138" s="58"/>
      <c r="B138" s="59"/>
      <c r="C138" s="66"/>
      <c r="D138" s="65"/>
      <c r="E138" s="62"/>
      <c r="F138" s="116"/>
      <c r="G138" s="91">
        <f t="shared" si="2"/>
        <v>23.699999999999989</v>
      </c>
      <c r="H138" s="92"/>
      <c r="I138" s="95"/>
    </row>
    <row r="139" spans="1:11" ht="18" customHeight="1" x14ac:dyDescent="0.25">
      <c r="A139" s="58"/>
      <c r="B139" s="59"/>
      <c r="C139" s="66"/>
      <c r="D139" s="65"/>
      <c r="E139" s="62"/>
      <c r="F139" s="116"/>
      <c r="G139" s="91">
        <f t="shared" si="2"/>
        <v>23.699999999999989</v>
      </c>
      <c r="H139" s="92"/>
      <c r="I139" s="95"/>
    </row>
    <row r="140" spans="1:11" ht="18" customHeight="1" x14ac:dyDescent="0.25">
      <c r="A140" s="58"/>
      <c r="B140" s="59"/>
      <c r="C140" s="66"/>
      <c r="D140" s="65"/>
      <c r="E140" s="62"/>
      <c r="F140" s="116"/>
      <c r="G140" s="91">
        <f t="shared" si="2"/>
        <v>23.699999999999989</v>
      </c>
      <c r="H140" s="92"/>
      <c r="I140" s="95"/>
    </row>
    <row r="141" spans="1:11" ht="18" customHeight="1" x14ac:dyDescent="0.25">
      <c r="A141" s="58"/>
      <c r="B141" s="59"/>
      <c r="C141" s="66"/>
      <c r="D141" s="65"/>
      <c r="E141" s="62"/>
      <c r="F141" s="116"/>
      <c r="G141" s="91">
        <f t="shared" si="2"/>
        <v>23.699999999999989</v>
      </c>
      <c r="H141" s="92"/>
      <c r="I141" s="95"/>
    </row>
    <row r="142" spans="1:11" ht="18" customHeight="1" x14ac:dyDescent="0.25">
      <c r="A142" s="58"/>
      <c r="B142" s="59"/>
      <c r="C142" s="66"/>
      <c r="D142" s="65"/>
      <c r="E142" s="62"/>
      <c r="F142" s="116"/>
      <c r="G142" s="91">
        <f t="shared" si="2"/>
        <v>23.699999999999989</v>
      </c>
      <c r="H142" s="92"/>
      <c r="I142" s="95"/>
    </row>
    <row r="143" spans="1:11" ht="18" customHeight="1" x14ac:dyDescent="0.25">
      <c r="A143" s="58"/>
      <c r="B143" s="59"/>
      <c r="C143" s="66"/>
      <c r="D143" s="65"/>
      <c r="E143" s="62"/>
      <c r="F143" s="116"/>
      <c r="G143" s="91">
        <f t="shared" si="2"/>
        <v>23.699999999999989</v>
      </c>
      <c r="H143" s="92"/>
      <c r="I143" s="95"/>
      <c r="K143" s="55" t="s">
        <v>152</v>
      </c>
    </row>
    <row r="144" spans="1:11" ht="18" customHeight="1" x14ac:dyDescent="0.25">
      <c r="A144" s="58"/>
      <c r="B144" s="59"/>
      <c r="C144" s="66"/>
      <c r="D144" s="65" t="s">
        <v>17</v>
      </c>
      <c r="E144" s="62"/>
      <c r="F144" s="116"/>
      <c r="G144" s="91">
        <f t="shared" si="2"/>
        <v>23.699999999999989</v>
      </c>
      <c r="H144" s="92"/>
      <c r="I144" s="95"/>
    </row>
    <row r="145" spans="1:9" ht="18" customHeight="1" x14ac:dyDescent="0.25">
      <c r="A145" s="58"/>
      <c r="B145" s="59"/>
      <c r="C145" s="66"/>
      <c r="D145" s="65" t="s">
        <v>17</v>
      </c>
      <c r="E145" s="62"/>
      <c r="F145" s="116"/>
      <c r="G145" s="91">
        <f t="shared" si="2"/>
        <v>23.699999999999989</v>
      </c>
      <c r="H145" s="92"/>
      <c r="I145" s="95"/>
    </row>
    <row r="146" spans="1:9" ht="18" customHeight="1" x14ac:dyDescent="0.25">
      <c r="A146" s="58"/>
      <c r="B146" s="59"/>
      <c r="C146" s="66"/>
      <c r="D146" s="65" t="s">
        <v>17</v>
      </c>
      <c r="E146" s="62"/>
      <c r="F146" s="116"/>
      <c r="G146" s="91">
        <f t="shared" si="2"/>
        <v>23.699999999999989</v>
      </c>
      <c r="H146" s="92"/>
      <c r="I146" s="95"/>
    </row>
    <row r="147" spans="1:9" ht="18" customHeight="1" x14ac:dyDescent="0.25">
      <c r="A147" s="58"/>
      <c r="B147" s="59"/>
      <c r="C147" s="66"/>
      <c r="D147" s="65" t="s">
        <v>17</v>
      </c>
      <c r="E147" s="62"/>
      <c r="F147" s="116"/>
      <c r="G147" s="91">
        <f t="shared" si="2"/>
        <v>23.699999999999989</v>
      </c>
      <c r="H147" s="92"/>
      <c r="I147" s="95"/>
    </row>
    <row r="148" spans="1:9" ht="18" customHeight="1" x14ac:dyDescent="0.25">
      <c r="A148" s="58"/>
      <c r="B148" s="59"/>
      <c r="C148" s="66"/>
      <c r="D148" s="65" t="s">
        <v>17</v>
      </c>
      <c r="E148" s="62"/>
      <c r="F148" s="116"/>
      <c r="G148" s="91">
        <f t="shared" si="2"/>
        <v>23.699999999999989</v>
      </c>
      <c r="H148" s="100"/>
      <c r="I148" s="95"/>
    </row>
    <row r="149" spans="1:9" x14ac:dyDescent="0.25">
      <c r="A149" s="65"/>
      <c r="B149" s="59"/>
      <c r="C149" s="101"/>
      <c r="D149" s="65" t="s">
        <v>17</v>
      </c>
      <c r="E149" s="123"/>
      <c r="F149" s="117"/>
      <c r="G149" s="91">
        <f t="shared" si="2"/>
        <v>23.699999999999989</v>
      </c>
      <c r="H149" s="102"/>
      <c r="I149" s="82"/>
    </row>
    <row r="150" spans="1:9" x14ac:dyDescent="0.25">
      <c r="A150" s="65"/>
      <c r="B150" s="73"/>
      <c r="C150" s="58"/>
      <c r="D150" s="65" t="s">
        <v>17</v>
      </c>
      <c r="E150" s="124"/>
      <c r="F150" s="118"/>
      <c r="G150" s="91">
        <f t="shared" si="2"/>
        <v>23.699999999999989</v>
      </c>
      <c r="H150" s="103"/>
      <c r="I150" s="82"/>
    </row>
    <row r="151" spans="1:9" x14ac:dyDescent="0.25">
      <c r="A151" s="58"/>
      <c r="B151" s="58"/>
      <c r="C151" s="77" t="s">
        <v>13</v>
      </c>
      <c r="D151" s="65"/>
      <c r="E151" s="119">
        <f>SUM(E9:E150)</f>
        <v>93</v>
      </c>
      <c r="F151" s="119">
        <f>SUM(F9:F150)</f>
        <v>69.300000000000011</v>
      </c>
      <c r="G151" s="132">
        <f>E151-F151+G8</f>
        <v>23.699999999999989</v>
      </c>
      <c r="H151" s="104"/>
      <c r="I151" s="105"/>
    </row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D0D9-44C8-4521-BD42-4E3309DDA96C}">
  <sheetPr codeName="Sheet24"/>
  <dimension ref="A1:P155"/>
  <sheetViews>
    <sheetView topLeftCell="A23" workbookViewId="0">
      <selection activeCell="F46" sqref="F46"/>
    </sheetView>
  </sheetViews>
  <sheetFormatPr defaultRowHeight="15.75" x14ac:dyDescent="0.25"/>
  <cols>
    <col min="1" max="1" width="6" style="55" customWidth="1"/>
    <col min="2" max="2" width="11.5703125" style="55" customWidth="1"/>
    <col min="3" max="3" width="39.42578125" style="55" customWidth="1"/>
    <col min="4" max="4" width="6.140625" style="80" customWidth="1"/>
    <col min="5" max="5" width="12.28515625" style="120" customWidth="1"/>
    <col min="6" max="6" width="12.28515625" style="113" customWidth="1"/>
    <col min="7" max="7" width="12.28515625" style="111" customWidth="1"/>
    <col min="8" max="8" width="17.5703125" style="81" customWidth="1"/>
    <col min="9" max="9" width="16.28515625" style="81" customWidth="1"/>
    <col min="10" max="256" width="9" style="55"/>
    <col min="257" max="257" width="6" style="55" customWidth="1"/>
    <col min="258" max="258" width="11.5703125" style="55" customWidth="1"/>
    <col min="259" max="259" width="45.42578125" style="55" customWidth="1"/>
    <col min="260" max="260" width="6.140625" style="55" customWidth="1"/>
    <col min="261" max="263" width="12.28515625" style="55" customWidth="1"/>
    <col min="264" max="264" width="15.140625" style="55" customWidth="1"/>
    <col min="265" max="265" width="15" style="55" customWidth="1"/>
    <col min="266" max="512" width="9" style="55"/>
    <col min="513" max="513" width="6" style="55" customWidth="1"/>
    <col min="514" max="514" width="11.5703125" style="55" customWidth="1"/>
    <col min="515" max="515" width="45.42578125" style="55" customWidth="1"/>
    <col min="516" max="516" width="6.140625" style="55" customWidth="1"/>
    <col min="517" max="519" width="12.28515625" style="55" customWidth="1"/>
    <col min="520" max="520" width="15.140625" style="55" customWidth="1"/>
    <col min="521" max="521" width="15" style="55" customWidth="1"/>
    <col min="522" max="768" width="9" style="55"/>
    <col min="769" max="769" width="6" style="55" customWidth="1"/>
    <col min="770" max="770" width="11.5703125" style="55" customWidth="1"/>
    <col min="771" max="771" width="45.42578125" style="55" customWidth="1"/>
    <col min="772" max="772" width="6.140625" style="55" customWidth="1"/>
    <col min="773" max="775" width="12.28515625" style="55" customWidth="1"/>
    <col min="776" max="776" width="15.140625" style="55" customWidth="1"/>
    <col min="777" max="777" width="15" style="55" customWidth="1"/>
    <col min="778" max="1024" width="9" style="55"/>
    <col min="1025" max="1025" width="6" style="55" customWidth="1"/>
    <col min="1026" max="1026" width="11.5703125" style="55" customWidth="1"/>
    <col min="1027" max="1027" width="45.42578125" style="55" customWidth="1"/>
    <col min="1028" max="1028" width="6.140625" style="55" customWidth="1"/>
    <col min="1029" max="1031" width="12.28515625" style="55" customWidth="1"/>
    <col min="1032" max="1032" width="15.140625" style="55" customWidth="1"/>
    <col min="1033" max="1033" width="15" style="55" customWidth="1"/>
    <col min="1034" max="1280" width="9" style="55"/>
    <col min="1281" max="1281" width="6" style="55" customWidth="1"/>
    <col min="1282" max="1282" width="11.5703125" style="55" customWidth="1"/>
    <col min="1283" max="1283" width="45.42578125" style="55" customWidth="1"/>
    <col min="1284" max="1284" width="6.140625" style="55" customWidth="1"/>
    <col min="1285" max="1287" width="12.28515625" style="55" customWidth="1"/>
    <col min="1288" max="1288" width="15.140625" style="55" customWidth="1"/>
    <col min="1289" max="1289" width="15" style="55" customWidth="1"/>
    <col min="1290" max="1536" width="9" style="55"/>
    <col min="1537" max="1537" width="6" style="55" customWidth="1"/>
    <col min="1538" max="1538" width="11.5703125" style="55" customWidth="1"/>
    <col min="1539" max="1539" width="45.42578125" style="55" customWidth="1"/>
    <col min="1540" max="1540" width="6.140625" style="55" customWidth="1"/>
    <col min="1541" max="1543" width="12.28515625" style="55" customWidth="1"/>
    <col min="1544" max="1544" width="15.140625" style="55" customWidth="1"/>
    <col min="1545" max="1545" width="15" style="55" customWidth="1"/>
    <col min="1546" max="1792" width="9" style="55"/>
    <col min="1793" max="1793" width="6" style="55" customWidth="1"/>
    <col min="1794" max="1794" width="11.5703125" style="55" customWidth="1"/>
    <col min="1795" max="1795" width="45.42578125" style="55" customWidth="1"/>
    <col min="1796" max="1796" width="6.140625" style="55" customWidth="1"/>
    <col min="1797" max="1799" width="12.28515625" style="55" customWidth="1"/>
    <col min="1800" max="1800" width="15.140625" style="55" customWidth="1"/>
    <col min="1801" max="1801" width="15" style="55" customWidth="1"/>
    <col min="1802" max="2048" width="9" style="55"/>
    <col min="2049" max="2049" width="6" style="55" customWidth="1"/>
    <col min="2050" max="2050" width="11.5703125" style="55" customWidth="1"/>
    <col min="2051" max="2051" width="45.42578125" style="55" customWidth="1"/>
    <col min="2052" max="2052" width="6.140625" style="55" customWidth="1"/>
    <col min="2053" max="2055" width="12.28515625" style="55" customWidth="1"/>
    <col min="2056" max="2056" width="15.140625" style="55" customWidth="1"/>
    <col min="2057" max="2057" width="15" style="55" customWidth="1"/>
    <col min="2058" max="2304" width="9" style="55"/>
    <col min="2305" max="2305" width="6" style="55" customWidth="1"/>
    <col min="2306" max="2306" width="11.5703125" style="55" customWidth="1"/>
    <col min="2307" max="2307" width="45.42578125" style="55" customWidth="1"/>
    <col min="2308" max="2308" width="6.140625" style="55" customWidth="1"/>
    <col min="2309" max="2311" width="12.28515625" style="55" customWidth="1"/>
    <col min="2312" max="2312" width="15.140625" style="55" customWidth="1"/>
    <col min="2313" max="2313" width="15" style="55" customWidth="1"/>
    <col min="2314" max="2560" width="9" style="55"/>
    <col min="2561" max="2561" width="6" style="55" customWidth="1"/>
    <col min="2562" max="2562" width="11.5703125" style="55" customWidth="1"/>
    <col min="2563" max="2563" width="45.42578125" style="55" customWidth="1"/>
    <col min="2564" max="2564" width="6.140625" style="55" customWidth="1"/>
    <col min="2565" max="2567" width="12.28515625" style="55" customWidth="1"/>
    <col min="2568" max="2568" width="15.140625" style="55" customWidth="1"/>
    <col min="2569" max="2569" width="15" style="55" customWidth="1"/>
    <col min="2570" max="2816" width="9" style="55"/>
    <col min="2817" max="2817" width="6" style="55" customWidth="1"/>
    <col min="2818" max="2818" width="11.5703125" style="55" customWidth="1"/>
    <col min="2819" max="2819" width="45.42578125" style="55" customWidth="1"/>
    <col min="2820" max="2820" width="6.140625" style="55" customWidth="1"/>
    <col min="2821" max="2823" width="12.28515625" style="55" customWidth="1"/>
    <col min="2824" max="2824" width="15.140625" style="55" customWidth="1"/>
    <col min="2825" max="2825" width="15" style="55" customWidth="1"/>
    <col min="2826" max="3072" width="9" style="55"/>
    <col min="3073" max="3073" width="6" style="55" customWidth="1"/>
    <col min="3074" max="3074" width="11.5703125" style="55" customWidth="1"/>
    <col min="3075" max="3075" width="45.42578125" style="55" customWidth="1"/>
    <col min="3076" max="3076" width="6.140625" style="55" customWidth="1"/>
    <col min="3077" max="3079" width="12.28515625" style="55" customWidth="1"/>
    <col min="3080" max="3080" width="15.140625" style="55" customWidth="1"/>
    <col min="3081" max="3081" width="15" style="55" customWidth="1"/>
    <col min="3082" max="3328" width="9" style="55"/>
    <col min="3329" max="3329" width="6" style="55" customWidth="1"/>
    <col min="3330" max="3330" width="11.5703125" style="55" customWidth="1"/>
    <col min="3331" max="3331" width="45.42578125" style="55" customWidth="1"/>
    <col min="3332" max="3332" width="6.140625" style="55" customWidth="1"/>
    <col min="3333" max="3335" width="12.28515625" style="55" customWidth="1"/>
    <col min="3336" max="3336" width="15.140625" style="55" customWidth="1"/>
    <col min="3337" max="3337" width="15" style="55" customWidth="1"/>
    <col min="3338" max="3584" width="9" style="55"/>
    <col min="3585" max="3585" width="6" style="55" customWidth="1"/>
    <col min="3586" max="3586" width="11.5703125" style="55" customWidth="1"/>
    <col min="3587" max="3587" width="45.42578125" style="55" customWidth="1"/>
    <col min="3588" max="3588" width="6.140625" style="55" customWidth="1"/>
    <col min="3589" max="3591" width="12.28515625" style="55" customWidth="1"/>
    <col min="3592" max="3592" width="15.140625" style="55" customWidth="1"/>
    <col min="3593" max="3593" width="15" style="55" customWidth="1"/>
    <col min="3594" max="3840" width="9" style="55"/>
    <col min="3841" max="3841" width="6" style="55" customWidth="1"/>
    <col min="3842" max="3842" width="11.5703125" style="55" customWidth="1"/>
    <col min="3843" max="3843" width="45.42578125" style="55" customWidth="1"/>
    <col min="3844" max="3844" width="6.140625" style="55" customWidth="1"/>
    <col min="3845" max="3847" width="12.28515625" style="55" customWidth="1"/>
    <col min="3848" max="3848" width="15.140625" style="55" customWidth="1"/>
    <col min="3849" max="3849" width="15" style="55" customWidth="1"/>
    <col min="3850" max="4096" width="9" style="55"/>
    <col min="4097" max="4097" width="6" style="55" customWidth="1"/>
    <col min="4098" max="4098" width="11.5703125" style="55" customWidth="1"/>
    <col min="4099" max="4099" width="45.42578125" style="55" customWidth="1"/>
    <col min="4100" max="4100" width="6.140625" style="55" customWidth="1"/>
    <col min="4101" max="4103" width="12.28515625" style="55" customWidth="1"/>
    <col min="4104" max="4104" width="15.140625" style="55" customWidth="1"/>
    <col min="4105" max="4105" width="15" style="55" customWidth="1"/>
    <col min="4106" max="4352" width="9" style="55"/>
    <col min="4353" max="4353" width="6" style="55" customWidth="1"/>
    <col min="4354" max="4354" width="11.5703125" style="55" customWidth="1"/>
    <col min="4355" max="4355" width="45.42578125" style="55" customWidth="1"/>
    <col min="4356" max="4356" width="6.140625" style="55" customWidth="1"/>
    <col min="4357" max="4359" width="12.28515625" style="55" customWidth="1"/>
    <col min="4360" max="4360" width="15.140625" style="55" customWidth="1"/>
    <col min="4361" max="4361" width="15" style="55" customWidth="1"/>
    <col min="4362" max="4608" width="9" style="55"/>
    <col min="4609" max="4609" width="6" style="55" customWidth="1"/>
    <col min="4610" max="4610" width="11.5703125" style="55" customWidth="1"/>
    <col min="4611" max="4611" width="45.42578125" style="55" customWidth="1"/>
    <col min="4612" max="4612" width="6.140625" style="55" customWidth="1"/>
    <col min="4613" max="4615" width="12.28515625" style="55" customWidth="1"/>
    <col min="4616" max="4616" width="15.140625" style="55" customWidth="1"/>
    <col min="4617" max="4617" width="15" style="55" customWidth="1"/>
    <col min="4618" max="4864" width="9" style="55"/>
    <col min="4865" max="4865" width="6" style="55" customWidth="1"/>
    <col min="4866" max="4866" width="11.5703125" style="55" customWidth="1"/>
    <col min="4867" max="4867" width="45.42578125" style="55" customWidth="1"/>
    <col min="4868" max="4868" width="6.140625" style="55" customWidth="1"/>
    <col min="4869" max="4871" width="12.28515625" style="55" customWidth="1"/>
    <col min="4872" max="4872" width="15.140625" style="55" customWidth="1"/>
    <col min="4873" max="4873" width="15" style="55" customWidth="1"/>
    <col min="4874" max="5120" width="9" style="55"/>
    <col min="5121" max="5121" width="6" style="55" customWidth="1"/>
    <col min="5122" max="5122" width="11.5703125" style="55" customWidth="1"/>
    <col min="5123" max="5123" width="45.42578125" style="55" customWidth="1"/>
    <col min="5124" max="5124" width="6.140625" style="55" customWidth="1"/>
    <col min="5125" max="5127" width="12.28515625" style="55" customWidth="1"/>
    <col min="5128" max="5128" width="15.140625" style="55" customWidth="1"/>
    <col min="5129" max="5129" width="15" style="55" customWidth="1"/>
    <col min="5130" max="5376" width="9" style="55"/>
    <col min="5377" max="5377" width="6" style="55" customWidth="1"/>
    <col min="5378" max="5378" width="11.5703125" style="55" customWidth="1"/>
    <col min="5379" max="5379" width="45.42578125" style="55" customWidth="1"/>
    <col min="5380" max="5380" width="6.140625" style="55" customWidth="1"/>
    <col min="5381" max="5383" width="12.28515625" style="55" customWidth="1"/>
    <col min="5384" max="5384" width="15.140625" style="55" customWidth="1"/>
    <col min="5385" max="5385" width="15" style="55" customWidth="1"/>
    <col min="5386" max="5632" width="9" style="55"/>
    <col min="5633" max="5633" width="6" style="55" customWidth="1"/>
    <col min="5634" max="5634" width="11.5703125" style="55" customWidth="1"/>
    <col min="5635" max="5635" width="45.42578125" style="55" customWidth="1"/>
    <col min="5636" max="5636" width="6.140625" style="55" customWidth="1"/>
    <col min="5637" max="5639" width="12.28515625" style="55" customWidth="1"/>
    <col min="5640" max="5640" width="15.140625" style="55" customWidth="1"/>
    <col min="5641" max="5641" width="15" style="55" customWidth="1"/>
    <col min="5642" max="5888" width="9" style="55"/>
    <col min="5889" max="5889" width="6" style="55" customWidth="1"/>
    <col min="5890" max="5890" width="11.5703125" style="55" customWidth="1"/>
    <col min="5891" max="5891" width="45.42578125" style="55" customWidth="1"/>
    <col min="5892" max="5892" width="6.140625" style="55" customWidth="1"/>
    <col min="5893" max="5895" width="12.28515625" style="55" customWidth="1"/>
    <col min="5896" max="5896" width="15.140625" style="55" customWidth="1"/>
    <col min="5897" max="5897" width="15" style="55" customWidth="1"/>
    <col min="5898" max="6144" width="9" style="55"/>
    <col min="6145" max="6145" width="6" style="55" customWidth="1"/>
    <col min="6146" max="6146" width="11.5703125" style="55" customWidth="1"/>
    <col min="6147" max="6147" width="45.42578125" style="55" customWidth="1"/>
    <col min="6148" max="6148" width="6.140625" style="55" customWidth="1"/>
    <col min="6149" max="6151" width="12.28515625" style="55" customWidth="1"/>
    <col min="6152" max="6152" width="15.140625" style="55" customWidth="1"/>
    <col min="6153" max="6153" width="15" style="55" customWidth="1"/>
    <col min="6154" max="6400" width="9" style="55"/>
    <col min="6401" max="6401" width="6" style="55" customWidth="1"/>
    <col min="6402" max="6402" width="11.5703125" style="55" customWidth="1"/>
    <col min="6403" max="6403" width="45.42578125" style="55" customWidth="1"/>
    <col min="6404" max="6404" width="6.140625" style="55" customWidth="1"/>
    <col min="6405" max="6407" width="12.28515625" style="55" customWidth="1"/>
    <col min="6408" max="6408" width="15.140625" style="55" customWidth="1"/>
    <col min="6409" max="6409" width="15" style="55" customWidth="1"/>
    <col min="6410" max="6656" width="9" style="55"/>
    <col min="6657" max="6657" width="6" style="55" customWidth="1"/>
    <col min="6658" max="6658" width="11.5703125" style="55" customWidth="1"/>
    <col min="6659" max="6659" width="45.42578125" style="55" customWidth="1"/>
    <col min="6660" max="6660" width="6.140625" style="55" customWidth="1"/>
    <col min="6661" max="6663" width="12.28515625" style="55" customWidth="1"/>
    <col min="6664" max="6664" width="15.140625" style="55" customWidth="1"/>
    <col min="6665" max="6665" width="15" style="55" customWidth="1"/>
    <col min="6666" max="6912" width="9" style="55"/>
    <col min="6913" max="6913" width="6" style="55" customWidth="1"/>
    <col min="6914" max="6914" width="11.5703125" style="55" customWidth="1"/>
    <col min="6915" max="6915" width="45.42578125" style="55" customWidth="1"/>
    <col min="6916" max="6916" width="6.140625" style="55" customWidth="1"/>
    <col min="6917" max="6919" width="12.28515625" style="55" customWidth="1"/>
    <col min="6920" max="6920" width="15.140625" style="55" customWidth="1"/>
    <col min="6921" max="6921" width="15" style="55" customWidth="1"/>
    <col min="6922" max="7168" width="9" style="55"/>
    <col min="7169" max="7169" width="6" style="55" customWidth="1"/>
    <col min="7170" max="7170" width="11.5703125" style="55" customWidth="1"/>
    <col min="7171" max="7171" width="45.42578125" style="55" customWidth="1"/>
    <col min="7172" max="7172" width="6.140625" style="55" customWidth="1"/>
    <col min="7173" max="7175" width="12.28515625" style="55" customWidth="1"/>
    <col min="7176" max="7176" width="15.140625" style="55" customWidth="1"/>
    <col min="7177" max="7177" width="15" style="55" customWidth="1"/>
    <col min="7178" max="7424" width="9" style="55"/>
    <col min="7425" max="7425" width="6" style="55" customWidth="1"/>
    <col min="7426" max="7426" width="11.5703125" style="55" customWidth="1"/>
    <col min="7427" max="7427" width="45.42578125" style="55" customWidth="1"/>
    <col min="7428" max="7428" width="6.140625" style="55" customWidth="1"/>
    <col min="7429" max="7431" width="12.28515625" style="55" customWidth="1"/>
    <col min="7432" max="7432" width="15.140625" style="55" customWidth="1"/>
    <col min="7433" max="7433" width="15" style="55" customWidth="1"/>
    <col min="7434" max="7680" width="9" style="55"/>
    <col min="7681" max="7681" width="6" style="55" customWidth="1"/>
    <col min="7682" max="7682" width="11.5703125" style="55" customWidth="1"/>
    <col min="7683" max="7683" width="45.42578125" style="55" customWidth="1"/>
    <col min="7684" max="7684" width="6.140625" style="55" customWidth="1"/>
    <col min="7685" max="7687" width="12.28515625" style="55" customWidth="1"/>
    <col min="7688" max="7688" width="15.140625" style="55" customWidth="1"/>
    <col min="7689" max="7689" width="15" style="55" customWidth="1"/>
    <col min="7690" max="7936" width="9" style="55"/>
    <col min="7937" max="7937" width="6" style="55" customWidth="1"/>
    <col min="7938" max="7938" width="11.5703125" style="55" customWidth="1"/>
    <col min="7939" max="7939" width="45.42578125" style="55" customWidth="1"/>
    <col min="7940" max="7940" width="6.140625" style="55" customWidth="1"/>
    <col min="7941" max="7943" width="12.28515625" style="55" customWidth="1"/>
    <col min="7944" max="7944" width="15.140625" style="55" customWidth="1"/>
    <col min="7945" max="7945" width="15" style="55" customWidth="1"/>
    <col min="7946" max="8192" width="9" style="55"/>
    <col min="8193" max="8193" width="6" style="55" customWidth="1"/>
    <col min="8194" max="8194" width="11.5703125" style="55" customWidth="1"/>
    <col min="8195" max="8195" width="45.42578125" style="55" customWidth="1"/>
    <col min="8196" max="8196" width="6.140625" style="55" customWidth="1"/>
    <col min="8197" max="8199" width="12.28515625" style="55" customWidth="1"/>
    <col min="8200" max="8200" width="15.140625" style="55" customWidth="1"/>
    <col min="8201" max="8201" width="15" style="55" customWidth="1"/>
    <col min="8202" max="8448" width="9" style="55"/>
    <col min="8449" max="8449" width="6" style="55" customWidth="1"/>
    <col min="8450" max="8450" width="11.5703125" style="55" customWidth="1"/>
    <col min="8451" max="8451" width="45.42578125" style="55" customWidth="1"/>
    <col min="8452" max="8452" width="6.140625" style="55" customWidth="1"/>
    <col min="8453" max="8455" width="12.28515625" style="55" customWidth="1"/>
    <col min="8456" max="8456" width="15.140625" style="55" customWidth="1"/>
    <col min="8457" max="8457" width="15" style="55" customWidth="1"/>
    <col min="8458" max="8704" width="9" style="55"/>
    <col min="8705" max="8705" width="6" style="55" customWidth="1"/>
    <col min="8706" max="8706" width="11.5703125" style="55" customWidth="1"/>
    <col min="8707" max="8707" width="45.42578125" style="55" customWidth="1"/>
    <col min="8708" max="8708" width="6.140625" style="55" customWidth="1"/>
    <col min="8709" max="8711" width="12.28515625" style="55" customWidth="1"/>
    <col min="8712" max="8712" width="15.140625" style="55" customWidth="1"/>
    <col min="8713" max="8713" width="15" style="55" customWidth="1"/>
    <col min="8714" max="8960" width="9" style="55"/>
    <col min="8961" max="8961" width="6" style="55" customWidth="1"/>
    <col min="8962" max="8962" width="11.5703125" style="55" customWidth="1"/>
    <col min="8963" max="8963" width="45.42578125" style="55" customWidth="1"/>
    <col min="8964" max="8964" width="6.140625" style="55" customWidth="1"/>
    <col min="8965" max="8967" width="12.28515625" style="55" customWidth="1"/>
    <col min="8968" max="8968" width="15.140625" style="55" customWidth="1"/>
    <col min="8969" max="8969" width="15" style="55" customWidth="1"/>
    <col min="8970" max="9216" width="9" style="55"/>
    <col min="9217" max="9217" width="6" style="55" customWidth="1"/>
    <col min="9218" max="9218" width="11.5703125" style="55" customWidth="1"/>
    <col min="9219" max="9219" width="45.42578125" style="55" customWidth="1"/>
    <col min="9220" max="9220" width="6.140625" style="55" customWidth="1"/>
    <col min="9221" max="9223" width="12.28515625" style="55" customWidth="1"/>
    <col min="9224" max="9224" width="15.140625" style="55" customWidth="1"/>
    <col min="9225" max="9225" width="15" style="55" customWidth="1"/>
    <col min="9226" max="9472" width="9" style="55"/>
    <col min="9473" max="9473" width="6" style="55" customWidth="1"/>
    <col min="9474" max="9474" width="11.5703125" style="55" customWidth="1"/>
    <col min="9475" max="9475" width="45.42578125" style="55" customWidth="1"/>
    <col min="9476" max="9476" width="6.140625" style="55" customWidth="1"/>
    <col min="9477" max="9479" width="12.28515625" style="55" customWidth="1"/>
    <col min="9480" max="9480" width="15.140625" style="55" customWidth="1"/>
    <col min="9481" max="9481" width="15" style="55" customWidth="1"/>
    <col min="9482" max="9728" width="9" style="55"/>
    <col min="9729" max="9729" width="6" style="55" customWidth="1"/>
    <col min="9730" max="9730" width="11.5703125" style="55" customWidth="1"/>
    <col min="9731" max="9731" width="45.42578125" style="55" customWidth="1"/>
    <col min="9732" max="9732" width="6.140625" style="55" customWidth="1"/>
    <col min="9733" max="9735" width="12.28515625" style="55" customWidth="1"/>
    <col min="9736" max="9736" width="15.140625" style="55" customWidth="1"/>
    <col min="9737" max="9737" width="15" style="55" customWidth="1"/>
    <col min="9738" max="9984" width="9" style="55"/>
    <col min="9985" max="9985" width="6" style="55" customWidth="1"/>
    <col min="9986" max="9986" width="11.5703125" style="55" customWidth="1"/>
    <col min="9987" max="9987" width="45.42578125" style="55" customWidth="1"/>
    <col min="9988" max="9988" width="6.140625" style="55" customWidth="1"/>
    <col min="9989" max="9991" width="12.28515625" style="55" customWidth="1"/>
    <col min="9992" max="9992" width="15.140625" style="55" customWidth="1"/>
    <col min="9993" max="9993" width="15" style="55" customWidth="1"/>
    <col min="9994" max="10240" width="9" style="55"/>
    <col min="10241" max="10241" width="6" style="55" customWidth="1"/>
    <col min="10242" max="10242" width="11.5703125" style="55" customWidth="1"/>
    <col min="10243" max="10243" width="45.42578125" style="55" customWidth="1"/>
    <col min="10244" max="10244" width="6.140625" style="55" customWidth="1"/>
    <col min="10245" max="10247" width="12.28515625" style="55" customWidth="1"/>
    <col min="10248" max="10248" width="15.140625" style="55" customWidth="1"/>
    <col min="10249" max="10249" width="15" style="55" customWidth="1"/>
    <col min="10250" max="10496" width="9" style="55"/>
    <col min="10497" max="10497" width="6" style="55" customWidth="1"/>
    <col min="10498" max="10498" width="11.5703125" style="55" customWidth="1"/>
    <col min="10499" max="10499" width="45.42578125" style="55" customWidth="1"/>
    <col min="10500" max="10500" width="6.140625" style="55" customWidth="1"/>
    <col min="10501" max="10503" width="12.28515625" style="55" customWidth="1"/>
    <col min="10504" max="10504" width="15.140625" style="55" customWidth="1"/>
    <col min="10505" max="10505" width="15" style="55" customWidth="1"/>
    <col min="10506" max="10752" width="9" style="55"/>
    <col min="10753" max="10753" width="6" style="55" customWidth="1"/>
    <col min="10754" max="10754" width="11.5703125" style="55" customWidth="1"/>
    <col min="10755" max="10755" width="45.42578125" style="55" customWidth="1"/>
    <col min="10756" max="10756" width="6.140625" style="55" customWidth="1"/>
    <col min="10757" max="10759" width="12.28515625" style="55" customWidth="1"/>
    <col min="10760" max="10760" width="15.140625" style="55" customWidth="1"/>
    <col min="10761" max="10761" width="15" style="55" customWidth="1"/>
    <col min="10762" max="11008" width="9" style="55"/>
    <col min="11009" max="11009" width="6" style="55" customWidth="1"/>
    <col min="11010" max="11010" width="11.5703125" style="55" customWidth="1"/>
    <col min="11011" max="11011" width="45.42578125" style="55" customWidth="1"/>
    <col min="11012" max="11012" width="6.140625" style="55" customWidth="1"/>
    <col min="11013" max="11015" width="12.28515625" style="55" customWidth="1"/>
    <col min="11016" max="11016" width="15.140625" style="55" customWidth="1"/>
    <col min="11017" max="11017" width="15" style="55" customWidth="1"/>
    <col min="11018" max="11264" width="9" style="55"/>
    <col min="11265" max="11265" width="6" style="55" customWidth="1"/>
    <col min="11266" max="11266" width="11.5703125" style="55" customWidth="1"/>
    <col min="11267" max="11267" width="45.42578125" style="55" customWidth="1"/>
    <col min="11268" max="11268" width="6.140625" style="55" customWidth="1"/>
    <col min="11269" max="11271" width="12.28515625" style="55" customWidth="1"/>
    <col min="11272" max="11272" width="15.140625" style="55" customWidth="1"/>
    <col min="11273" max="11273" width="15" style="55" customWidth="1"/>
    <col min="11274" max="11520" width="9" style="55"/>
    <col min="11521" max="11521" width="6" style="55" customWidth="1"/>
    <col min="11522" max="11522" width="11.5703125" style="55" customWidth="1"/>
    <col min="11523" max="11523" width="45.42578125" style="55" customWidth="1"/>
    <col min="11524" max="11524" width="6.140625" style="55" customWidth="1"/>
    <col min="11525" max="11527" width="12.28515625" style="55" customWidth="1"/>
    <col min="11528" max="11528" width="15.140625" style="55" customWidth="1"/>
    <col min="11529" max="11529" width="15" style="55" customWidth="1"/>
    <col min="11530" max="11776" width="9" style="55"/>
    <col min="11777" max="11777" width="6" style="55" customWidth="1"/>
    <col min="11778" max="11778" width="11.5703125" style="55" customWidth="1"/>
    <col min="11779" max="11779" width="45.42578125" style="55" customWidth="1"/>
    <col min="11780" max="11780" width="6.140625" style="55" customWidth="1"/>
    <col min="11781" max="11783" width="12.28515625" style="55" customWidth="1"/>
    <col min="11784" max="11784" width="15.140625" style="55" customWidth="1"/>
    <col min="11785" max="11785" width="15" style="55" customWidth="1"/>
    <col min="11786" max="12032" width="9" style="55"/>
    <col min="12033" max="12033" width="6" style="55" customWidth="1"/>
    <col min="12034" max="12034" width="11.5703125" style="55" customWidth="1"/>
    <col min="12035" max="12035" width="45.42578125" style="55" customWidth="1"/>
    <col min="12036" max="12036" width="6.140625" style="55" customWidth="1"/>
    <col min="12037" max="12039" width="12.28515625" style="55" customWidth="1"/>
    <col min="12040" max="12040" width="15.140625" style="55" customWidth="1"/>
    <col min="12041" max="12041" width="15" style="55" customWidth="1"/>
    <col min="12042" max="12288" width="9" style="55"/>
    <col min="12289" max="12289" width="6" style="55" customWidth="1"/>
    <col min="12290" max="12290" width="11.5703125" style="55" customWidth="1"/>
    <col min="12291" max="12291" width="45.42578125" style="55" customWidth="1"/>
    <col min="12292" max="12292" width="6.140625" style="55" customWidth="1"/>
    <col min="12293" max="12295" width="12.28515625" style="55" customWidth="1"/>
    <col min="12296" max="12296" width="15.140625" style="55" customWidth="1"/>
    <col min="12297" max="12297" width="15" style="55" customWidth="1"/>
    <col min="12298" max="12544" width="9" style="55"/>
    <col min="12545" max="12545" width="6" style="55" customWidth="1"/>
    <col min="12546" max="12546" width="11.5703125" style="55" customWidth="1"/>
    <col min="12547" max="12547" width="45.42578125" style="55" customWidth="1"/>
    <col min="12548" max="12548" width="6.140625" style="55" customWidth="1"/>
    <col min="12549" max="12551" width="12.28515625" style="55" customWidth="1"/>
    <col min="12552" max="12552" width="15.140625" style="55" customWidth="1"/>
    <col min="12553" max="12553" width="15" style="55" customWidth="1"/>
    <col min="12554" max="12800" width="9" style="55"/>
    <col min="12801" max="12801" width="6" style="55" customWidth="1"/>
    <col min="12802" max="12802" width="11.5703125" style="55" customWidth="1"/>
    <col min="12803" max="12803" width="45.42578125" style="55" customWidth="1"/>
    <col min="12804" max="12804" width="6.140625" style="55" customWidth="1"/>
    <col min="12805" max="12807" width="12.28515625" style="55" customWidth="1"/>
    <col min="12808" max="12808" width="15.140625" style="55" customWidth="1"/>
    <col min="12809" max="12809" width="15" style="55" customWidth="1"/>
    <col min="12810" max="13056" width="9" style="55"/>
    <col min="13057" max="13057" width="6" style="55" customWidth="1"/>
    <col min="13058" max="13058" width="11.5703125" style="55" customWidth="1"/>
    <col min="13059" max="13059" width="45.42578125" style="55" customWidth="1"/>
    <col min="13060" max="13060" width="6.140625" style="55" customWidth="1"/>
    <col min="13061" max="13063" width="12.28515625" style="55" customWidth="1"/>
    <col min="13064" max="13064" width="15.140625" style="55" customWidth="1"/>
    <col min="13065" max="13065" width="15" style="55" customWidth="1"/>
    <col min="13066" max="13312" width="9" style="55"/>
    <col min="13313" max="13313" width="6" style="55" customWidth="1"/>
    <col min="13314" max="13314" width="11.5703125" style="55" customWidth="1"/>
    <col min="13315" max="13315" width="45.42578125" style="55" customWidth="1"/>
    <col min="13316" max="13316" width="6.140625" style="55" customWidth="1"/>
    <col min="13317" max="13319" width="12.28515625" style="55" customWidth="1"/>
    <col min="13320" max="13320" width="15.140625" style="55" customWidth="1"/>
    <col min="13321" max="13321" width="15" style="55" customWidth="1"/>
    <col min="13322" max="13568" width="9" style="55"/>
    <col min="13569" max="13569" width="6" style="55" customWidth="1"/>
    <col min="13570" max="13570" width="11.5703125" style="55" customWidth="1"/>
    <col min="13571" max="13571" width="45.42578125" style="55" customWidth="1"/>
    <col min="13572" max="13572" width="6.140625" style="55" customWidth="1"/>
    <col min="13573" max="13575" width="12.28515625" style="55" customWidth="1"/>
    <col min="13576" max="13576" width="15.140625" style="55" customWidth="1"/>
    <col min="13577" max="13577" width="15" style="55" customWidth="1"/>
    <col min="13578" max="13824" width="9" style="55"/>
    <col min="13825" max="13825" width="6" style="55" customWidth="1"/>
    <col min="13826" max="13826" width="11.5703125" style="55" customWidth="1"/>
    <col min="13827" max="13827" width="45.42578125" style="55" customWidth="1"/>
    <col min="13828" max="13828" width="6.140625" style="55" customWidth="1"/>
    <col min="13829" max="13831" width="12.28515625" style="55" customWidth="1"/>
    <col min="13832" max="13832" width="15.140625" style="55" customWidth="1"/>
    <col min="13833" max="13833" width="15" style="55" customWidth="1"/>
    <col min="13834" max="14080" width="9" style="55"/>
    <col min="14081" max="14081" width="6" style="55" customWidth="1"/>
    <col min="14082" max="14082" width="11.5703125" style="55" customWidth="1"/>
    <col min="14083" max="14083" width="45.42578125" style="55" customWidth="1"/>
    <col min="14084" max="14084" width="6.140625" style="55" customWidth="1"/>
    <col min="14085" max="14087" width="12.28515625" style="55" customWidth="1"/>
    <col min="14088" max="14088" width="15.140625" style="55" customWidth="1"/>
    <col min="14089" max="14089" width="15" style="55" customWidth="1"/>
    <col min="14090" max="14336" width="9" style="55"/>
    <col min="14337" max="14337" width="6" style="55" customWidth="1"/>
    <col min="14338" max="14338" width="11.5703125" style="55" customWidth="1"/>
    <col min="14339" max="14339" width="45.42578125" style="55" customWidth="1"/>
    <col min="14340" max="14340" width="6.140625" style="55" customWidth="1"/>
    <col min="14341" max="14343" width="12.28515625" style="55" customWidth="1"/>
    <col min="14344" max="14344" width="15.140625" style="55" customWidth="1"/>
    <col min="14345" max="14345" width="15" style="55" customWidth="1"/>
    <col min="14346" max="14592" width="9" style="55"/>
    <col min="14593" max="14593" width="6" style="55" customWidth="1"/>
    <col min="14594" max="14594" width="11.5703125" style="55" customWidth="1"/>
    <col min="14595" max="14595" width="45.42578125" style="55" customWidth="1"/>
    <col min="14596" max="14596" width="6.140625" style="55" customWidth="1"/>
    <col min="14597" max="14599" width="12.28515625" style="55" customWidth="1"/>
    <col min="14600" max="14600" width="15.140625" style="55" customWidth="1"/>
    <col min="14601" max="14601" width="15" style="55" customWidth="1"/>
    <col min="14602" max="14848" width="9" style="55"/>
    <col min="14849" max="14849" width="6" style="55" customWidth="1"/>
    <col min="14850" max="14850" width="11.5703125" style="55" customWidth="1"/>
    <col min="14851" max="14851" width="45.42578125" style="55" customWidth="1"/>
    <col min="14852" max="14852" width="6.140625" style="55" customWidth="1"/>
    <col min="14853" max="14855" width="12.28515625" style="55" customWidth="1"/>
    <col min="14856" max="14856" width="15.140625" style="55" customWidth="1"/>
    <col min="14857" max="14857" width="15" style="55" customWidth="1"/>
    <col min="14858" max="15104" width="9" style="55"/>
    <col min="15105" max="15105" width="6" style="55" customWidth="1"/>
    <col min="15106" max="15106" width="11.5703125" style="55" customWidth="1"/>
    <col min="15107" max="15107" width="45.42578125" style="55" customWidth="1"/>
    <col min="15108" max="15108" width="6.140625" style="55" customWidth="1"/>
    <col min="15109" max="15111" width="12.28515625" style="55" customWidth="1"/>
    <col min="15112" max="15112" width="15.140625" style="55" customWidth="1"/>
    <col min="15113" max="15113" width="15" style="55" customWidth="1"/>
    <col min="15114" max="15360" width="9" style="55"/>
    <col min="15361" max="15361" width="6" style="55" customWidth="1"/>
    <col min="15362" max="15362" width="11.5703125" style="55" customWidth="1"/>
    <col min="15363" max="15363" width="45.42578125" style="55" customWidth="1"/>
    <col min="15364" max="15364" width="6.140625" style="55" customWidth="1"/>
    <col min="15365" max="15367" width="12.28515625" style="55" customWidth="1"/>
    <col min="15368" max="15368" width="15.140625" style="55" customWidth="1"/>
    <col min="15369" max="15369" width="15" style="55" customWidth="1"/>
    <col min="15370" max="15616" width="9" style="55"/>
    <col min="15617" max="15617" width="6" style="55" customWidth="1"/>
    <col min="15618" max="15618" width="11.5703125" style="55" customWidth="1"/>
    <col min="15619" max="15619" width="45.42578125" style="55" customWidth="1"/>
    <col min="15620" max="15620" width="6.140625" style="55" customWidth="1"/>
    <col min="15621" max="15623" width="12.28515625" style="55" customWidth="1"/>
    <col min="15624" max="15624" width="15.140625" style="55" customWidth="1"/>
    <col min="15625" max="15625" width="15" style="55" customWidth="1"/>
    <col min="15626" max="15872" width="9" style="55"/>
    <col min="15873" max="15873" width="6" style="55" customWidth="1"/>
    <col min="15874" max="15874" width="11.5703125" style="55" customWidth="1"/>
    <col min="15875" max="15875" width="45.42578125" style="55" customWidth="1"/>
    <col min="15876" max="15876" width="6.140625" style="55" customWidth="1"/>
    <col min="15877" max="15879" width="12.28515625" style="55" customWidth="1"/>
    <col min="15880" max="15880" width="15.140625" style="55" customWidth="1"/>
    <col min="15881" max="15881" width="15" style="55" customWidth="1"/>
    <col min="15882" max="16128" width="9" style="55"/>
    <col min="16129" max="16129" width="6" style="55" customWidth="1"/>
    <col min="16130" max="16130" width="11.5703125" style="55" customWidth="1"/>
    <col min="16131" max="16131" width="45.42578125" style="55" customWidth="1"/>
    <col min="16132" max="16132" width="6.140625" style="55" customWidth="1"/>
    <col min="16133" max="16135" width="12.28515625" style="55" customWidth="1"/>
    <col min="16136" max="16136" width="15.140625" style="55" customWidth="1"/>
    <col min="16137" max="16137" width="15" style="55" customWidth="1"/>
    <col min="16138" max="16384" width="9" style="55"/>
  </cols>
  <sheetData>
    <row r="1" spans="1:9" x14ac:dyDescent="0.25">
      <c r="A1" s="55" t="s">
        <v>16</v>
      </c>
    </row>
    <row r="2" spans="1:9" x14ac:dyDescent="0.25">
      <c r="A2" s="55" t="s">
        <v>1</v>
      </c>
    </row>
    <row r="4" spans="1:9" x14ac:dyDescent="0.25">
      <c r="A4" s="273" t="str">
        <f>+'[1]Hộp oto'!A4:I5</f>
        <v>THẺ KHO NGUYÊN VẬT LIỆU</v>
      </c>
      <c r="B4" s="273"/>
      <c r="C4" s="273"/>
      <c r="D4" s="273"/>
      <c r="E4" s="273"/>
      <c r="F4" s="273"/>
      <c r="G4" s="273"/>
      <c r="H4" s="273"/>
      <c r="I4" s="273"/>
    </row>
    <row r="5" spans="1:9" x14ac:dyDescent="0.25">
      <c r="A5" s="273"/>
      <c r="B5" s="273"/>
      <c r="C5" s="273"/>
      <c r="D5" s="273"/>
      <c r="E5" s="273"/>
      <c r="F5" s="273"/>
      <c r="G5" s="273"/>
      <c r="H5" s="273"/>
      <c r="I5" s="273"/>
    </row>
    <row r="7" spans="1:9" ht="33.75" customHeight="1" x14ac:dyDescent="0.25">
      <c r="A7" s="65" t="s">
        <v>3</v>
      </c>
      <c r="B7" s="65" t="s">
        <v>4</v>
      </c>
      <c r="C7" s="4" t="s">
        <v>31</v>
      </c>
      <c r="D7" s="65" t="s">
        <v>5</v>
      </c>
      <c r="E7" s="121" t="s">
        <v>6</v>
      </c>
      <c r="F7" s="114" t="s">
        <v>7</v>
      </c>
      <c r="G7" s="112" t="s">
        <v>8</v>
      </c>
      <c r="H7" s="82" t="s">
        <v>9</v>
      </c>
      <c r="I7" s="82" t="s">
        <v>10</v>
      </c>
    </row>
    <row r="8" spans="1:9" s="90" customFormat="1" ht="18" customHeight="1" x14ac:dyDescent="0.25">
      <c r="A8" s="83"/>
      <c r="B8" s="84"/>
      <c r="C8" s="85" t="s">
        <v>14</v>
      </c>
      <c r="D8" s="61" t="s">
        <v>17</v>
      </c>
      <c r="E8" s="86"/>
      <c r="F8" s="86"/>
      <c r="G8" s="87"/>
      <c r="H8" s="88"/>
      <c r="I8" s="89"/>
    </row>
    <row r="9" spans="1:9" ht="18" customHeight="1" x14ac:dyDescent="0.25">
      <c r="A9" s="58"/>
      <c r="B9" s="59">
        <v>45826</v>
      </c>
      <c r="C9" s="66" t="s">
        <v>118</v>
      </c>
      <c r="D9" s="61" t="s">
        <v>17</v>
      </c>
      <c r="E9" s="62">
        <v>463.2</v>
      </c>
      <c r="F9" s="62">
        <v>15.44</v>
      </c>
      <c r="G9" s="91">
        <f>+G8+E9-F9</f>
        <v>447.76</v>
      </c>
      <c r="H9" s="92"/>
      <c r="I9" s="92" t="s">
        <v>119</v>
      </c>
    </row>
    <row r="10" spans="1:9" ht="18" customHeight="1" x14ac:dyDescent="0.25">
      <c r="A10" s="58"/>
      <c r="B10" s="59">
        <v>45827</v>
      </c>
      <c r="C10" s="66"/>
      <c r="D10" s="61" t="s">
        <v>17</v>
      </c>
      <c r="E10" s="62"/>
      <c r="F10" s="93">
        <v>15.44</v>
      </c>
      <c r="G10" s="91">
        <f t="shared" ref="G10:G74" si="0">+G9+E10-F10</f>
        <v>432.32</v>
      </c>
      <c r="H10" s="92" t="s">
        <v>32</v>
      </c>
      <c r="I10" s="92" t="s">
        <v>25</v>
      </c>
    </row>
    <row r="11" spans="1:9" ht="18" customHeight="1" x14ac:dyDescent="0.25">
      <c r="A11" s="58"/>
      <c r="B11" s="70">
        <v>45833</v>
      </c>
      <c r="C11" s="66"/>
      <c r="D11" s="61" t="s">
        <v>17</v>
      </c>
      <c r="E11" s="62"/>
      <c r="F11" s="93">
        <v>30.88</v>
      </c>
      <c r="G11" s="91">
        <f t="shared" si="0"/>
        <v>401.44</v>
      </c>
      <c r="H11" s="92" t="s">
        <v>32</v>
      </c>
      <c r="I11" s="92" t="s">
        <v>25</v>
      </c>
    </row>
    <row r="12" spans="1:9" ht="18" customHeight="1" x14ac:dyDescent="0.25">
      <c r="A12" s="58"/>
      <c r="B12" s="59">
        <v>45838</v>
      </c>
      <c r="C12" s="66"/>
      <c r="D12" s="61" t="s">
        <v>17</v>
      </c>
      <c r="E12" s="62"/>
      <c r="F12" s="93">
        <v>15.44</v>
      </c>
      <c r="G12" s="91">
        <f t="shared" si="0"/>
        <v>386</v>
      </c>
      <c r="H12" s="92"/>
      <c r="I12" s="92" t="s">
        <v>25</v>
      </c>
    </row>
    <row r="13" spans="1:9" ht="18" customHeight="1" x14ac:dyDescent="0.25">
      <c r="A13" s="58"/>
      <c r="B13" s="59">
        <v>45840</v>
      </c>
      <c r="C13" s="66"/>
      <c r="D13" s="61" t="s">
        <v>17</v>
      </c>
      <c r="E13" s="62"/>
      <c r="F13" s="93">
        <v>15.44</v>
      </c>
      <c r="G13" s="91">
        <f t="shared" si="0"/>
        <v>370.56</v>
      </c>
      <c r="H13" s="92" t="s">
        <v>32</v>
      </c>
      <c r="I13" s="92" t="s">
        <v>25</v>
      </c>
    </row>
    <row r="14" spans="1:9" ht="18" customHeight="1" x14ac:dyDescent="0.25">
      <c r="A14" s="58"/>
      <c r="B14" s="59">
        <v>45841</v>
      </c>
      <c r="C14" s="66"/>
      <c r="D14" s="61" t="s">
        <v>17</v>
      </c>
      <c r="E14" s="62"/>
      <c r="F14" s="93">
        <v>15.44</v>
      </c>
      <c r="G14" s="91">
        <f t="shared" si="0"/>
        <v>355.12</v>
      </c>
      <c r="H14" s="92" t="s">
        <v>32</v>
      </c>
      <c r="I14" s="92" t="s">
        <v>25</v>
      </c>
    </row>
    <row r="15" spans="1:9" ht="18" customHeight="1" x14ac:dyDescent="0.25">
      <c r="A15" s="58"/>
      <c r="B15" s="59">
        <v>45842</v>
      </c>
      <c r="C15" s="66"/>
      <c r="D15" s="61" t="s">
        <v>17</v>
      </c>
      <c r="E15" s="62"/>
      <c r="F15" s="93">
        <v>15.44</v>
      </c>
      <c r="G15" s="91">
        <f t="shared" si="0"/>
        <v>339.68</v>
      </c>
      <c r="H15" s="92"/>
      <c r="I15" s="92"/>
    </row>
    <row r="16" spans="1:9" ht="18" customHeight="1" x14ac:dyDescent="0.25">
      <c r="A16" s="58"/>
      <c r="B16" s="59">
        <v>45847</v>
      </c>
      <c r="C16" s="66"/>
      <c r="D16" s="61" t="s">
        <v>17</v>
      </c>
      <c r="E16" s="62"/>
      <c r="F16" s="93">
        <v>15.44</v>
      </c>
      <c r="G16" s="91">
        <f t="shared" si="0"/>
        <v>324.24</v>
      </c>
      <c r="H16" s="92" t="s">
        <v>32</v>
      </c>
      <c r="I16" s="92" t="s">
        <v>25</v>
      </c>
    </row>
    <row r="17" spans="1:10" ht="18" customHeight="1" x14ac:dyDescent="0.25">
      <c r="A17" s="58"/>
      <c r="B17" s="59">
        <v>45910</v>
      </c>
      <c r="C17" s="66"/>
      <c r="D17" s="61" t="s">
        <v>17</v>
      </c>
      <c r="E17" s="62"/>
      <c r="F17" s="93">
        <v>15.44</v>
      </c>
      <c r="G17" s="91">
        <f t="shared" si="0"/>
        <v>308.8</v>
      </c>
      <c r="H17" s="92" t="s">
        <v>32</v>
      </c>
      <c r="I17" s="92" t="s">
        <v>25</v>
      </c>
      <c r="J17" s="72"/>
    </row>
    <row r="18" spans="1:10" ht="18" customHeight="1" x14ac:dyDescent="0.25">
      <c r="A18" s="58"/>
      <c r="B18" s="94">
        <v>45849</v>
      </c>
      <c r="C18" s="66"/>
      <c r="D18" s="61" t="s">
        <v>17</v>
      </c>
      <c r="E18" s="62"/>
      <c r="F18" s="62">
        <v>15.44</v>
      </c>
      <c r="G18" s="91">
        <f t="shared" si="0"/>
        <v>293.36</v>
      </c>
      <c r="H18" s="92" t="s">
        <v>32</v>
      </c>
      <c r="I18" s="92" t="s">
        <v>25</v>
      </c>
      <c r="J18" s="72"/>
    </row>
    <row r="19" spans="1:10" ht="18" customHeight="1" x14ac:dyDescent="0.25">
      <c r="A19" s="96"/>
      <c r="B19" s="97">
        <v>45850</v>
      </c>
      <c r="C19" s="153"/>
      <c r="D19" s="61" t="s">
        <v>17</v>
      </c>
      <c r="E19" s="122"/>
      <c r="F19" s="115">
        <v>15.44</v>
      </c>
      <c r="G19" s="91">
        <f t="shared" si="0"/>
        <v>277.92</v>
      </c>
      <c r="H19" s="156"/>
      <c r="I19" s="156" t="s">
        <v>37</v>
      </c>
      <c r="J19" s="72"/>
    </row>
    <row r="20" spans="1:10" ht="18" customHeight="1" x14ac:dyDescent="0.25">
      <c r="A20" s="58"/>
      <c r="B20" s="59">
        <v>45852</v>
      </c>
      <c r="C20" s="66"/>
      <c r="D20" s="61" t="s">
        <v>17</v>
      </c>
      <c r="E20" s="62"/>
      <c r="F20" s="93">
        <v>15.44</v>
      </c>
      <c r="G20" s="91">
        <f t="shared" si="0"/>
        <v>262.48</v>
      </c>
      <c r="H20" s="92" t="s">
        <v>32</v>
      </c>
      <c r="I20" s="92" t="s">
        <v>25</v>
      </c>
      <c r="J20" s="72"/>
    </row>
    <row r="21" spans="1:10" ht="18" customHeight="1" x14ac:dyDescent="0.25">
      <c r="A21" s="58"/>
      <c r="B21" s="59">
        <v>45855</v>
      </c>
      <c r="C21" s="66"/>
      <c r="D21" s="61" t="s">
        <v>17</v>
      </c>
      <c r="E21" s="62"/>
      <c r="F21" s="93">
        <v>15.44</v>
      </c>
      <c r="G21" s="91">
        <f t="shared" si="0"/>
        <v>247.04000000000002</v>
      </c>
      <c r="H21" s="92" t="s">
        <v>32</v>
      </c>
      <c r="I21" s="92" t="s">
        <v>25</v>
      </c>
      <c r="J21" s="72"/>
    </row>
    <row r="22" spans="1:10" ht="18" customHeight="1" x14ac:dyDescent="0.25">
      <c r="A22" s="58"/>
      <c r="B22" s="59">
        <v>45856</v>
      </c>
      <c r="C22" s="66"/>
      <c r="D22" s="61" t="s">
        <v>17</v>
      </c>
      <c r="E22" s="62"/>
      <c r="F22" s="93">
        <v>30.88</v>
      </c>
      <c r="G22" s="91">
        <f t="shared" si="0"/>
        <v>216.16000000000003</v>
      </c>
      <c r="H22" s="92" t="s">
        <v>32</v>
      </c>
      <c r="I22" s="92" t="s">
        <v>25</v>
      </c>
      <c r="J22" s="72"/>
    </row>
    <row r="23" spans="1:10" ht="18" customHeight="1" x14ac:dyDescent="0.25">
      <c r="A23" s="58"/>
      <c r="B23" s="59">
        <v>45861</v>
      </c>
      <c r="C23" s="66"/>
      <c r="D23" s="61" t="s">
        <v>17</v>
      </c>
      <c r="E23" s="62"/>
      <c r="F23" s="62">
        <v>15.44</v>
      </c>
      <c r="G23" s="91">
        <f t="shared" si="0"/>
        <v>200.72000000000003</v>
      </c>
      <c r="H23" s="92" t="s">
        <v>32</v>
      </c>
      <c r="I23" s="92" t="s">
        <v>25</v>
      </c>
      <c r="J23" s="72"/>
    </row>
    <row r="24" spans="1:10" ht="18" customHeight="1" x14ac:dyDescent="0.25">
      <c r="A24" s="58"/>
      <c r="B24" s="59">
        <v>45864</v>
      </c>
      <c r="C24" s="66"/>
      <c r="D24" s="61" t="s">
        <v>17</v>
      </c>
      <c r="E24" s="62"/>
      <c r="F24" s="93">
        <v>15.44</v>
      </c>
      <c r="G24" s="91">
        <f t="shared" si="0"/>
        <v>185.28000000000003</v>
      </c>
      <c r="H24" s="92" t="s">
        <v>32</v>
      </c>
      <c r="I24" s="92" t="s">
        <v>25</v>
      </c>
      <c r="J24" s="72"/>
    </row>
    <row r="25" spans="1:10" ht="18" customHeight="1" x14ac:dyDescent="0.25">
      <c r="A25" s="58"/>
      <c r="B25" s="59">
        <v>45866</v>
      </c>
      <c r="C25" s="66"/>
      <c r="D25" s="61" t="s">
        <v>17</v>
      </c>
      <c r="E25" s="62"/>
      <c r="F25" s="93">
        <v>15.44</v>
      </c>
      <c r="G25" s="91">
        <f t="shared" si="0"/>
        <v>169.84000000000003</v>
      </c>
      <c r="H25" s="92" t="s">
        <v>32</v>
      </c>
      <c r="I25" s="92" t="s">
        <v>39</v>
      </c>
    </row>
    <row r="26" spans="1:10" ht="18" customHeight="1" x14ac:dyDescent="0.25">
      <c r="A26" s="58"/>
      <c r="B26" s="59">
        <v>45871</v>
      </c>
      <c r="C26" s="66"/>
      <c r="D26" s="61" t="s">
        <v>17</v>
      </c>
      <c r="E26" s="62"/>
      <c r="F26" s="93">
        <v>15.44</v>
      </c>
      <c r="G26" s="91">
        <f t="shared" si="0"/>
        <v>154.40000000000003</v>
      </c>
      <c r="H26" s="92" t="s">
        <v>32</v>
      </c>
      <c r="I26" s="92" t="s">
        <v>25</v>
      </c>
    </row>
    <row r="27" spans="1:10" ht="18" customHeight="1" x14ac:dyDescent="0.25">
      <c r="A27" s="58"/>
      <c r="B27" s="59">
        <v>45873</v>
      </c>
      <c r="C27" s="66"/>
      <c r="D27" s="61" t="s">
        <v>17</v>
      </c>
      <c r="E27" s="62"/>
      <c r="F27" s="93">
        <v>15.44</v>
      </c>
      <c r="G27" s="91">
        <f t="shared" si="0"/>
        <v>138.96000000000004</v>
      </c>
      <c r="H27" s="92" t="s">
        <v>32</v>
      </c>
      <c r="I27" s="92" t="s">
        <v>25</v>
      </c>
    </row>
    <row r="28" spans="1:10" s="98" customFormat="1" ht="18" customHeight="1" x14ac:dyDescent="0.25">
      <c r="A28" s="96"/>
      <c r="B28" s="97">
        <v>45874</v>
      </c>
      <c r="C28" s="66"/>
      <c r="D28" s="61" t="s">
        <v>17</v>
      </c>
      <c r="E28" s="122"/>
      <c r="F28" s="115">
        <v>15.44</v>
      </c>
      <c r="G28" s="91">
        <f t="shared" si="0"/>
        <v>123.52000000000004</v>
      </c>
      <c r="H28" s="92" t="s">
        <v>32</v>
      </c>
      <c r="I28" s="92" t="s">
        <v>25</v>
      </c>
    </row>
    <row r="29" spans="1:10" s="98" customFormat="1" ht="18" customHeight="1" x14ac:dyDescent="0.25">
      <c r="A29" s="96"/>
      <c r="B29" s="97">
        <v>45877</v>
      </c>
      <c r="C29" s="66"/>
      <c r="D29" s="61" t="s">
        <v>17</v>
      </c>
      <c r="E29" s="122">
        <f>16*15.44</f>
        <v>247.04</v>
      </c>
      <c r="F29" s="115"/>
      <c r="G29" s="91">
        <f t="shared" si="0"/>
        <v>370.56000000000006</v>
      </c>
      <c r="H29" s="92"/>
      <c r="I29" s="92" t="s">
        <v>147</v>
      </c>
    </row>
    <row r="30" spans="1:10" ht="18" customHeight="1" x14ac:dyDescent="0.25">
      <c r="A30" s="58"/>
      <c r="B30" s="59">
        <v>45883</v>
      </c>
      <c r="C30" s="66"/>
      <c r="D30" s="61" t="s">
        <v>17</v>
      </c>
      <c r="E30" s="62"/>
      <c r="F30" s="93">
        <v>30.88</v>
      </c>
      <c r="G30" s="91">
        <f t="shared" si="0"/>
        <v>339.68000000000006</v>
      </c>
      <c r="H30" s="92" t="s">
        <v>32</v>
      </c>
      <c r="I30" s="92" t="s">
        <v>25</v>
      </c>
    </row>
    <row r="31" spans="1:10" ht="18" customHeight="1" x14ac:dyDescent="0.25">
      <c r="A31" s="58"/>
      <c r="B31" s="59">
        <v>45888</v>
      </c>
      <c r="C31" s="66"/>
      <c r="D31" s="61" t="s">
        <v>17</v>
      </c>
      <c r="E31" s="62"/>
      <c r="F31" s="62">
        <v>15.44</v>
      </c>
      <c r="G31" s="91">
        <f t="shared" si="0"/>
        <v>324.24000000000007</v>
      </c>
      <c r="H31" s="92" t="s">
        <v>32</v>
      </c>
      <c r="I31" s="92" t="s">
        <v>25</v>
      </c>
    </row>
    <row r="32" spans="1:10" ht="18" customHeight="1" x14ac:dyDescent="0.25">
      <c r="A32" s="58"/>
      <c r="B32" s="59">
        <v>45889</v>
      </c>
      <c r="C32" s="66"/>
      <c r="D32" s="61" t="s">
        <v>17</v>
      </c>
      <c r="E32" s="62"/>
      <c r="F32" s="62">
        <v>15.44</v>
      </c>
      <c r="G32" s="91">
        <f t="shared" si="0"/>
        <v>308.80000000000007</v>
      </c>
      <c r="H32" s="92" t="s">
        <v>32</v>
      </c>
      <c r="I32" s="92" t="s">
        <v>25</v>
      </c>
    </row>
    <row r="33" spans="1:16" ht="18" customHeight="1" x14ac:dyDescent="0.25">
      <c r="A33" s="58"/>
      <c r="B33" s="59">
        <v>45904</v>
      </c>
      <c r="C33" s="66"/>
      <c r="D33" s="61" t="s">
        <v>17</v>
      </c>
      <c r="E33" s="62"/>
      <c r="F33" s="62">
        <v>15.44</v>
      </c>
      <c r="G33" s="91">
        <f t="shared" si="0"/>
        <v>293.36000000000007</v>
      </c>
      <c r="H33" s="92" t="s">
        <v>32</v>
      </c>
      <c r="I33" s="92" t="s">
        <v>25</v>
      </c>
    </row>
    <row r="34" spans="1:16" ht="18" customHeight="1" x14ac:dyDescent="0.25">
      <c r="A34" s="58"/>
      <c r="B34" s="59">
        <v>45905</v>
      </c>
      <c r="C34" s="66"/>
      <c r="D34" s="61" t="s">
        <v>17</v>
      </c>
      <c r="E34" s="62"/>
      <c r="F34" s="62">
        <v>15.44</v>
      </c>
      <c r="G34" s="91">
        <f t="shared" si="0"/>
        <v>277.92000000000007</v>
      </c>
      <c r="H34" s="92"/>
      <c r="I34" s="92" t="s">
        <v>25</v>
      </c>
    </row>
    <row r="35" spans="1:16" ht="18" customHeight="1" x14ac:dyDescent="0.25">
      <c r="A35" s="58"/>
      <c r="B35" s="59">
        <v>45909</v>
      </c>
      <c r="C35" s="66"/>
      <c r="D35" s="61" t="s">
        <v>17</v>
      </c>
      <c r="E35" s="62"/>
      <c r="F35" s="62">
        <f>15.44+15.44</f>
        <v>30.88</v>
      </c>
      <c r="G35" s="91">
        <f t="shared" si="0"/>
        <v>247.04000000000008</v>
      </c>
      <c r="H35" s="92"/>
      <c r="I35" s="92" t="s">
        <v>25</v>
      </c>
    </row>
    <row r="36" spans="1:16" ht="18" customHeight="1" x14ac:dyDescent="0.25">
      <c r="A36" s="58"/>
      <c r="B36" s="59">
        <v>45919</v>
      </c>
      <c r="C36" s="66"/>
      <c r="D36" s="61" t="s">
        <v>17</v>
      </c>
      <c r="E36" s="62"/>
      <c r="F36" s="62">
        <v>15.44</v>
      </c>
      <c r="G36" s="91">
        <f t="shared" si="0"/>
        <v>231.60000000000008</v>
      </c>
      <c r="H36" s="92"/>
      <c r="I36" s="92" t="s">
        <v>25</v>
      </c>
    </row>
    <row r="37" spans="1:16" ht="18" customHeight="1" x14ac:dyDescent="0.25">
      <c r="A37" s="58"/>
      <c r="B37" s="59">
        <v>45920</v>
      </c>
      <c r="C37" s="66"/>
      <c r="D37" s="61" t="s">
        <v>17</v>
      </c>
      <c r="E37" s="62"/>
      <c r="F37" s="62">
        <v>15.44</v>
      </c>
      <c r="G37" s="91">
        <f t="shared" si="0"/>
        <v>216.16000000000008</v>
      </c>
      <c r="H37" s="92"/>
      <c r="I37" s="92" t="s">
        <v>25</v>
      </c>
    </row>
    <row r="38" spans="1:16" ht="18" customHeight="1" x14ac:dyDescent="0.25">
      <c r="A38" s="58"/>
      <c r="B38" s="59">
        <v>45921</v>
      </c>
      <c r="C38" s="66"/>
      <c r="D38" s="61" t="s">
        <v>17</v>
      </c>
      <c r="E38" s="62"/>
      <c r="F38" s="62">
        <v>30.88</v>
      </c>
      <c r="G38" s="91">
        <f t="shared" si="0"/>
        <v>185.28000000000009</v>
      </c>
      <c r="H38" s="92"/>
      <c r="I38" s="92" t="s">
        <v>25</v>
      </c>
      <c r="P38" s="55">
        <f>154.69+247</f>
        <v>401.69</v>
      </c>
    </row>
    <row r="39" spans="1:16" ht="18" customHeight="1" x14ac:dyDescent="0.25">
      <c r="A39" s="58"/>
      <c r="B39" s="59">
        <v>45929</v>
      </c>
      <c r="C39" s="66"/>
      <c r="D39" s="61" t="s">
        <v>17</v>
      </c>
      <c r="E39" s="62"/>
      <c r="F39" s="62">
        <v>15.44</v>
      </c>
      <c r="G39" s="91">
        <f t="shared" si="0"/>
        <v>169.84000000000009</v>
      </c>
      <c r="H39" s="92"/>
      <c r="I39" s="92" t="s">
        <v>25</v>
      </c>
    </row>
    <row r="40" spans="1:16" ht="18" customHeight="1" x14ac:dyDescent="0.25">
      <c r="A40" s="58"/>
      <c r="B40" s="59">
        <v>45931</v>
      </c>
      <c r="C40" s="66"/>
      <c r="D40" s="61" t="s">
        <v>17</v>
      </c>
      <c r="E40" s="62"/>
      <c r="F40" s="62">
        <v>15.44</v>
      </c>
      <c r="G40" s="91">
        <f t="shared" si="0"/>
        <v>154.40000000000009</v>
      </c>
      <c r="H40" s="92"/>
      <c r="I40" s="92" t="s">
        <v>25</v>
      </c>
    </row>
    <row r="41" spans="1:16" ht="18" customHeight="1" x14ac:dyDescent="0.25">
      <c r="A41" s="58"/>
      <c r="B41" s="59">
        <v>45932</v>
      </c>
      <c r="C41" s="66"/>
      <c r="D41" s="61" t="s">
        <v>17</v>
      </c>
      <c r="E41" s="62"/>
      <c r="F41" s="62">
        <v>15.44</v>
      </c>
      <c r="G41" s="91">
        <f t="shared" si="0"/>
        <v>138.96000000000009</v>
      </c>
      <c r="H41" s="92"/>
      <c r="I41" s="92" t="s">
        <v>25</v>
      </c>
      <c r="M41" s="55">
        <f>494/2</f>
        <v>247</v>
      </c>
    </row>
    <row r="42" spans="1:16" ht="18" customHeight="1" x14ac:dyDescent="0.25">
      <c r="A42" s="58"/>
      <c r="B42" s="59">
        <v>45933</v>
      </c>
      <c r="C42" s="66"/>
      <c r="D42" s="61" t="s">
        <v>17</v>
      </c>
      <c r="E42" s="62"/>
      <c r="F42" s="99">
        <v>15.44</v>
      </c>
      <c r="G42" s="91">
        <f t="shared" si="0"/>
        <v>123.5200000000001</v>
      </c>
      <c r="H42" s="92"/>
      <c r="I42" s="92" t="s">
        <v>25</v>
      </c>
    </row>
    <row r="43" spans="1:16" ht="18" customHeight="1" x14ac:dyDescent="0.25">
      <c r="A43" s="58"/>
      <c r="B43" s="59">
        <v>45934</v>
      </c>
      <c r="C43" s="66"/>
      <c r="D43" s="61" t="s">
        <v>17</v>
      </c>
      <c r="E43" s="62"/>
      <c r="F43" s="99">
        <v>15.44</v>
      </c>
      <c r="G43" s="91">
        <f t="shared" si="0"/>
        <v>108.0800000000001</v>
      </c>
      <c r="H43" s="92"/>
      <c r="I43" s="92" t="s">
        <v>25</v>
      </c>
    </row>
    <row r="44" spans="1:16" ht="18" customHeight="1" x14ac:dyDescent="0.25">
      <c r="A44" s="58"/>
      <c r="B44" s="59">
        <v>45937</v>
      </c>
      <c r="C44" s="66"/>
      <c r="D44" s="61" t="s">
        <v>17</v>
      </c>
      <c r="E44" s="62"/>
      <c r="F44" s="99">
        <v>15.44</v>
      </c>
      <c r="G44" s="91">
        <f t="shared" si="0"/>
        <v>92.6400000000001</v>
      </c>
      <c r="H44" s="92"/>
      <c r="I44" s="92" t="s">
        <v>25</v>
      </c>
    </row>
    <row r="45" spans="1:16" ht="18" customHeight="1" x14ac:dyDescent="0.25">
      <c r="A45" s="58"/>
      <c r="B45" s="59">
        <v>45938</v>
      </c>
      <c r="C45" s="66"/>
      <c r="D45" s="61" t="s">
        <v>17</v>
      </c>
      <c r="E45" s="62"/>
      <c r="F45" s="99">
        <v>15.44</v>
      </c>
      <c r="G45" s="91">
        <f t="shared" si="0"/>
        <v>77.200000000000102</v>
      </c>
      <c r="H45" s="92"/>
      <c r="I45" s="92" t="s">
        <v>25</v>
      </c>
    </row>
    <row r="46" spans="1:16" ht="18" customHeight="1" x14ac:dyDescent="0.25">
      <c r="A46" s="58"/>
      <c r="B46" s="59">
        <v>45939</v>
      </c>
      <c r="C46" s="66"/>
      <c r="D46" s="61" t="s">
        <v>17</v>
      </c>
      <c r="E46" s="62"/>
      <c r="F46" s="99">
        <v>15.44</v>
      </c>
      <c r="G46" s="91">
        <f t="shared" si="0"/>
        <v>61.760000000000105</v>
      </c>
      <c r="H46" s="92"/>
      <c r="I46" s="92" t="s">
        <v>25</v>
      </c>
    </row>
    <row r="47" spans="1:16" ht="18" customHeight="1" x14ac:dyDescent="0.25">
      <c r="A47" s="58"/>
      <c r="B47" s="59"/>
      <c r="C47" s="66"/>
      <c r="D47" s="61" t="s">
        <v>17</v>
      </c>
      <c r="E47" s="62"/>
      <c r="F47" s="99"/>
      <c r="G47" s="91">
        <f t="shared" si="0"/>
        <v>61.760000000000105</v>
      </c>
      <c r="H47" s="92"/>
      <c r="I47" s="92" t="s">
        <v>25</v>
      </c>
    </row>
    <row r="48" spans="1:16" ht="18" customHeight="1" x14ac:dyDescent="0.25">
      <c r="A48" s="58"/>
      <c r="B48" s="59"/>
      <c r="C48" s="66"/>
      <c r="D48" s="61" t="s">
        <v>17</v>
      </c>
      <c r="E48" s="62"/>
      <c r="F48" s="99"/>
      <c r="G48" s="91">
        <f t="shared" si="0"/>
        <v>61.760000000000105</v>
      </c>
      <c r="H48" s="92"/>
      <c r="I48" s="92" t="s">
        <v>25</v>
      </c>
    </row>
    <row r="49" spans="1:9" ht="18" customHeight="1" x14ac:dyDescent="0.25">
      <c r="A49" s="58"/>
      <c r="B49" s="59"/>
      <c r="C49" s="66"/>
      <c r="D49" s="61" t="s">
        <v>17</v>
      </c>
      <c r="E49" s="62"/>
      <c r="F49" s="99"/>
      <c r="G49" s="91">
        <f t="shared" si="0"/>
        <v>61.760000000000105</v>
      </c>
      <c r="H49" s="92"/>
      <c r="I49" s="92" t="s">
        <v>25</v>
      </c>
    </row>
    <row r="50" spans="1:9" ht="18" customHeight="1" x14ac:dyDescent="0.25">
      <c r="A50" s="58"/>
      <c r="B50" s="59"/>
      <c r="C50" s="66"/>
      <c r="D50" s="61" t="s">
        <v>17</v>
      </c>
      <c r="E50" s="62"/>
      <c r="F50" s="99"/>
      <c r="G50" s="91">
        <f t="shared" si="0"/>
        <v>61.760000000000105</v>
      </c>
      <c r="H50" s="92"/>
      <c r="I50" s="92" t="s">
        <v>25</v>
      </c>
    </row>
    <row r="51" spans="1:9" ht="18" customHeight="1" x14ac:dyDescent="0.25">
      <c r="A51" s="58"/>
      <c r="B51" s="59"/>
      <c r="C51" s="66"/>
      <c r="D51" s="61" t="s">
        <v>17</v>
      </c>
      <c r="E51" s="62"/>
      <c r="F51" s="99"/>
      <c r="G51" s="91">
        <f t="shared" si="0"/>
        <v>61.760000000000105</v>
      </c>
      <c r="H51" s="92"/>
      <c r="I51" s="92" t="s">
        <v>25</v>
      </c>
    </row>
    <row r="52" spans="1:9" ht="18" customHeight="1" x14ac:dyDescent="0.25">
      <c r="A52" s="58"/>
      <c r="B52" s="59"/>
      <c r="C52" s="66"/>
      <c r="D52" s="61" t="s">
        <v>17</v>
      </c>
      <c r="E52" s="62"/>
      <c r="F52" s="99"/>
      <c r="G52" s="91">
        <f t="shared" si="0"/>
        <v>61.760000000000105</v>
      </c>
      <c r="H52" s="92"/>
      <c r="I52" s="92" t="s">
        <v>25</v>
      </c>
    </row>
    <row r="53" spans="1:9" ht="18" customHeight="1" x14ac:dyDescent="0.25">
      <c r="A53" s="58"/>
      <c r="B53" s="59"/>
      <c r="C53" s="66"/>
      <c r="D53" s="61" t="s">
        <v>17</v>
      </c>
      <c r="E53" s="62"/>
      <c r="F53" s="99"/>
      <c r="G53" s="91">
        <f t="shared" si="0"/>
        <v>61.760000000000105</v>
      </c>
      <c r="H53" s="92"/>
      <c r="I53" s="92" t="s">
        <v>25</v>
      </c>
    </row>
    <row r="54" spans="1:9" ht="18" customHeight="1" x14ac:dyDescent="0.25">
      <c r="A54" s="58"/>
      <c r="B54" s="59"/>
      <c r="C54" s="66"/>
      <c r="D54" s="61" t="s">
        <v>17</v>
      </c>
      <c r="E54" s="62"/>
      <c r="F54" s="99"/>
      <c r="G54" s="91">
        <f t="shared" si="0"/>
        <v>61.760000000000105</v>
      </c>
      <c r="H54" s="92"/>
      <c r="I54" s="92" t="s">
        <v>25</v>
      </c>
    </row>
    <row r="55" spans="1:9" ht="18" customHeight="1" x14ac:dyDescent="0.25">
      <c r="A55" s="58"/>
      <c r="B55" s="59"/>
      <c r="C55" s="66"/>
      <c r="D55" s="61" t="s">
        <v>17</v>
      </c>
      <c r="E55" s="62"/>
      <c r="F55" s="99"/>
      <c r="G55" s="91">
        <f t="shared" si="0"/>
        <v>61.760000000000105</v>
      </c>
      <c r="H55" s="92"/>
      <c r="I55" s="92" t="s">
        <v>25</v>
      </c>
    </row>
    <row r="56" spans="1:9" ht="18" customHeight="1" x14ac:dyDescent="0.25">
      <c r="A56" s="58"/>
      <c r="B56" s="59"/>
      <c r="C56" s="66"/>
      <c r="D56" s="61" t="s">
        <v>17</v>
      </c>
      <c r="E56" s="62"/>
      <c r="F56" s="99"/>
      <c r="G56" s="91">
        <f t="shared" si="0"/>
        <v>61.760000000000105</v>
      </c>
      <c r="H56" s="92"/>
      <c r="I56" s="92" t="s">
        <v>25</v>
      </c>
    </row>
    <row r="57" spans="1:9" ht="18" customHeight="1" x14ac:dyDescent="0.25">
      <c r="A57" s="58"/>
      <c r="B57" s="59"/>
      <c r="C57" s="66"/>
      <c r="D57" s="61" t="s">
        <v>17</v>
      </c>
      <c r="E57" s="62"/>
      <c r="F57" s="99"/>
      <c r="G57" s="91">
        <f t="shared" si="0"/>
        <v>61.760000000000105</v>
      </c>
      <c r="H57" s="92"/>
      <c r="I57" s="92" t="s">
        <v>25</v>
      </c>
    </row>
    <row r="58" spans="1:9" ht="18" customHeight="1" x14ac:dyDescent="0.25">
      <c r="A58" s="58"/>
      <c r="B58" s="59"/>
      <c r="C58" s="66"/>
      <c r="D58" s="61" t="s">
        <v>17</v>
      </c>
      <c r="E58" s="62"/>
      <c r="F58" s="99"/>
      <c r="G58" s="91">
        <f t="shared" si="0"/>
        <v>61.760000000000105</v>
      </c>
      <c r="H58" s="92"/>
      <c r="I58" s="92" t="s">
        <v>25</v>
      </c>
    </row>
    <row r="59" spans="1:9" ht="18" customHeight="1" x14ac:dyDescent="0.25">
      <c r="A59" s="58"/>
      <c r="B59" s="59"/>
      <c r="C59" s="66"/>
      <c r="D59" s="61" t="s">
        <v>17</v>
      </c>
      <c r="E59" s="62"/>
      <c r="F59" s="99"/>
      <c r="G59" s="91">
        <f t="shared" si="0"/>
        <v>61.760000000000105</v>
      </c>
      <c r="H59" s="92"/>
      <c r="I59" s="92" t="s">
        <v>25</v>
      </c>
    </row>
    <row r="60" spans="1:9" ht="18" customHeight="1" x14ac:dyDescent="0.25">
      <c r="A60" s="58"/>
      <c r="B60" s="59"/>
      <c r="C60" s="66"/>
      <c r="D60" s="61" t="s">
        <v>17</v>
      </c>
      <c r="E60" s="62"/>
      <c r="F60" s="116"/>
      <c r="G60" s="91">
        <f t="shared" si="0"/>
        <v>61.760000000000105</v>
      </c>
      <c r="H60" s="92"/>
      <c r="I60" s="92" t="s">
        <v>25</v>
      </c>
    </row>
    <row r="61" spans="1:9" ht="18" customHeight="1" x14ac:dyDescent="0.25">
      <c r="A61" s="58"/>
      <c r="B61" s="59"/>
      <c r="C61" s="66"/>
      <c r="D61" s="61" t="s">
        <v>17</v>
      </c>
      <c r="E61" s="62"/>
      <c r="F61" s="116"/>
      <c r="G61" s="91">
        <f t="shared" si="0"/>
        <v>61.760000000000105</v>
      </c>
      <c r="H61" s="92"/>
      <c r="I61" s="92" t="s">
        <v>25</v>
      </c>
    </row>
    <row r="62" spans="1:9" ht="18" customHeight="1" x14ac:dyDescent="0.25">
      <c r="A62" s="58"/>
      <c r="B62" s="59"/>
      <c r="C62" s="66"/>
      <c r="D62" s="61" t="s">
        <v>17</v>
      </c>
      <c r="E62" s="62"/>
      <c r="F62" s="116"/>
      <c r="G62" s="91">
        <f t="shared" si="0"/>
        <v>61.760000000000105</v>
      </c>
      <c r="H62" s="92"/>
      <c r="I62" s="92" t="s">
        <v>25</v>
      </c>
    </row>
    <row r="63" spans="1:9" ht="18" customHeight="1" x14ac:dyDescent="0.25">
      <c r="A63" s="58"/>
      <c r="B63" s="59"/>
      <c r="C63" s="66"/>
      <c r="D63" s="61" t="s">
        <v>17</v>
      </c>
      <c r="E63" s="62"/>
      <c r="F63" s="116"/>
      <c r="G63" s="91">
        <f t="shared" si="0"/>
        <v>61.760000000000105</v>
      </c>
      <c r="H63" s="92"/>
      <c r="I63" s="92" t="s">
        <v>25</v>
      </c>
    </row>
    <row r="64" spans="1:9" ht="18" customHeight="1" x14ac:dyDescent="0.25">
      <c r="A64" s="58"/>
      <c r="B64" s="59"/>
      <c r="C64" s="66"/>
      <c r="D64" s="61" t="s">
        <v>17</v>
      </c>
      <c r="E64" s="62"/>
      <c r="F64" s="116"/>
      <c r="G64" s="91">
        <f t="shared" si="0"/>
        <v>61.760000000000105</v>
      </c>
      <c r="H64" s="92"/>
      <c r="I64" s="92" t="s">
        <v>25</v>
      </c>
    </row>
    <row r="65" spans="1:9" ht="18" customHeight="1" x14ac:dyDescent="0.25">
      <c r="A65" s="58"/>
      <c r="B65" s="59"/>
      <c r="C65" s="66"/>
      <c r="D65" s="61" t="s">
        <v>17</v>
      </c>
      <c r="E65" s="62"/>
      <c r="F65" s="116"/>
      <c r="G65" s="91">
        <f t="shared" si="0"/>
        <v>61.760000000000105</v>
      </c>
      <c r="H65" s="92"/>
      <c r="I65" s="92" t="s">
        <v>25</v>
      </c>
    </row>
    <row r="66" spans="1:9" ht="18" customHeight="1" x14ac:dyDescent="0.25">
      <c r="A66" s="58"/>
      <c r="B66" s="59"/>
      <c r="C66" s="66"/>
      <c r="D66" s="61" t="s">
        <v>17</v>
      </c>
      <c r="E66" s="62"/>
      <c r="F66" s="116"/>
      <c r="G66" s="91">
        <f t="shared" si="0"/>
        <v>61.760000000000105</v>
      </c>
      <c r="H66" s="92"/>
      <c r="I66" s="92" t="s">
        <v>25</v>
      </c>
    </row>
    <row r="67" spans="1:9" ht="18" customHeight="1" x14ac:dyDescent="0.25">
      <c r="A67" s="58"/>
      <c r="B67" s="59"/>
      <c r="C67" s="66"/>
      <c r="D67" s="61" t="s">
        <v>17</v>
      </c>
      <c r="E67" s="62"/>
      <c r="F67" s="116"/>
      <c r="G67" s="91">
        <f t="shared" si="0"/>
        <v>61.760000000000105</v>
      </c>
      <c r="H67" s="92"/>
      <c r="I67" s="92" t="s">
        <v>25</v>
      </c>
    </row>
    <row r="68" spans="1:9" ht="18" customHeight="1" x14ac:dyDescent="0.25">
      <c r="A68" s="58"/>
      <c r="B68" s="59"/>
      <c r="C68" s="66"/>
      <c r="D68" s="61" t="s">
        <v>17</v>
      </c>
      <c r="E68" s="62"/>
      <c r="F68" s="116"/>
      <c r="G68" s="91">
        <f t="shared" si="0"/>
        <v>61.760000000000105</v>
      </c>
      <c r="H68" s="92"/>
      <c r="I68" s="92" t="s">
        <v>25</v>
      </c>
    </row>
    <row r="69" spans="1:9" ht="18" customHeight="1" x14ac:dyDescent="0.25">
      <c r="A69" s="58"/>
      <c r="B69" s="59"/>
      <c r="C69" s="66"/>
      <c r="D69" s="61" t="s">
        <v>17</v>
      </c>
      <c r="E69" s="62"/>
      <c r="F69" s="116"/>
      <c r="G69" s="91">
        <f t="shared" si="0"/>
        <v>61.760000000000105</v>
      </c>
      <c r="H69" s="92"/>
      <c r="I69" s="92" t="s">
        <v>25</v>
      </c>
    </row>
    <row r="70" spans="1:9" ht="18" customHeight="1" x14ac:dyDescent="0.25">
      <c r="A70" s="58"/>
      <c r="B70" s="59"/>
      <c r="C70" s="66"/>
      <c r="D70" s="61" t="s">
        <v>17</v>
      </c>
      <c r="E70" s="62"/>
      <c r="F70" s="116"/>
      <c r="G70" s="91">
        <f t="shared" si="0"/>
        <v>61.760000000000105</v>
      </c>
      <c r="H70" s="92"/>
      <c r="I70" s="92" t="s">
        <v>25</v>
      </c>
    </row>
    <row r="71" spans="1:9" ht="18" customHeight="1" x14ac:dyDescent="0.25">
      <c r="A71" s="58"/>
      <c r="B71" s="59"/>
      <c r="C71" s="66"/>
      <c r="D71" s="61" t="s">
        <v>17</v>
      </c>
      <c r="E71" s="62"/>
      <c r="F71" s="116"/>
      <c r="G71" s="91">
        <f t="shared" si="0"/>
        <v>61.760000000000105</v>
      </c>
      <c r="H71" s="92"/>
      <c r="I71" s="92" t="s">
        <v>25</v>
      </c>
    </row>
    <row r="72" spans="1:9" ht="18" customHeight="1" x14ac:dyDescent="0.25">
      <c r="A72" s="58"/>
      <c r="B72" s="59"/>
      <c r="C72" s="66"/>
      <c r="D72" s="61" t="s">
        <v>17</v>
      </c>
      <c r="E72" s="62"/>
      <c r="F72" s="116"/>
      <c r="G72" s="91">
        <f t="shared" si="0"/>
        <v>61.760000000000105</v>
      </c>
      <c r="H72" s="92"/>
      <c r="I72" s="92" t="s">
        <v>25</v>
      </c>
    </row>
    <row r="73" spans="1:9" ht="18" customHeight="1" x14ac:dyDescent="0.25">
      <c r="A73" s="58"/>
      <c r="B73" s="59"/>
      <c r="C73" s="66"/>
      <c r="D73" s="61" t="s">
        <v>17</v>
      </c>
      <c r="E73" s="62"/>
      <c r="F73" s="116"/>
      <c r="G73" s="91">
        <f t="shared" si="0"/>
        <v>61.760000000000105</v>
      </c>
      <c r="H73" s="92"/>
      <c r="I73" s="92" t="s">
        <v>25</v>
      </c>
    </row>
    <row r="74" spans="1:9" ht="18" customHeight="1" x14ac:dyDescent="0.25">
      <c r="A74" s="58"/>
      <c r="B74" s="59"/>
      <c r="C74" s="66"/>
      <c r="D74" s="61" t="s">
        <v>17</v>
      </c>
      <c r="E74" s="62"/>
      <c r="F74" s="116"/>
      <c r="G74" s="91">
        <f t="shared" si="0"/>
        <v>61.760000000000105</v>
      </c>
      <c r="H74" s="92"/>
      <c r="I74" s="92" t="s">
        <v>25</v>
      </c>
    </row>
    <row r="75" spans="1:9" ht="18" customHeight="1" x14ac:dyDescent="0.25">
      <c r="A75" s="58"/>
      <c r="B75" s="59"/>
      <c r="C75" s="66"/>
      <c r="D75" s="61" t="s">
        <v>17</v>
      </c>
      <c r="E75" s="62"/>
      <c r="F75" s="116"/>
      <c r="G75" s="91">
        <f t="shared" ref="G75:G138" si="1">+G74+E75-F75</f>
        <v>61.760000000000105</v>
      </c>
      <c r="H75" s="92"/>
      <c r="I75" s="92" t="s">
        <v>25</v>
      </c>
    </row>
    <row r="76" spans="1:9" ht="18" customHeight="1" x14ac:dyDescent="0.25">
      <c r="A76" s="58"/>
      <c r="B76" s="59"/>
      <c r="C76" s="66"/>
      <c r="D76" s="61" t="s">
        <v>17</v>
      </c>
      <c r="E76" s="62"/>
      <c r="F76" s="116"/>
      <c r="G76" s="91">
        <f t="shared" si="1"/>
        <v>61.760000000000105</v>
      </c>
      <c r="H76" s="92"/>
      <c r="I76" s="92" t="s">
        <v>25</v>
      </c>
    </row>
    <row r="77" spans="1:9" ht="18" customHeight="1" x14ac:dyDescent="0.25">
      <c r="A77" s="58"/>
      <c r="B77" s="59"/>
      <c r="C77" s="66"/>
      <c r="D77" s="61" t="s">
        <v>17</v>
      </c>
      <c r="E77" s="62"/>
      <c r="F77" s="116"/>
      <c r="G77" s="91">
        <f t="shared" si="1"/>
        <v>61.760000000000105</v>
      </c>
      <c r="H77" s="92"/>
      <c r="I77" s="92"/>
    </row>
    <row r="78" spans="1:9" ht="18" customHeight="1" x14ac:dyDescent="0.25">
      <c r="A78" s="58"/>
      <c r="B78" s="59"/>
      <c r="C78" s="66"/>
      <c r="D78" s="61" t="s">
        <v>17</v>
      </c>
      <c r="E78" s="62"/>
      <c r="F78" s="116"/>
      <c r="G78" s="91">
        <f t="shared" si="1"/>
        <v>61.760000000000105</v>
      </c>
      <c r="H78" s="92"/>
      <c r="I78" s="92"/>
    </row>
    <row r="79" spans="1:9" ht="18" customHeight="1" x14ac:dyDescent="0.25">
      <c r="A79" s="58"/>
      <c r="B79" s="59"/>
      <c r="C79" s="66"/>
      <c r="D79" s="61" t="s">
        <v>17</v>
      </c>
      <c r="E79" s="62"/>
      <c r="F79" s="116"/>
      <c r="G79" s="91">
        <f t="shared" si="1"/>
        <v>61.760000000000105</v>
      </c>
      <c r="H79" s="92"/>
      <c r="I79" s="92"/>
    </row>
    <row r="80" spans="1:9" ht="18" customHeight="1" x14ac:dyDescent="0.25">
      <c r="A80" s="58"/>
      <c r="B80" s="59"/>
      <c r="C80" s="66"/>
      <c r="D80" s="61" t="s">
        <v>17</v>
      </c>
      <c r="E80" s="62"/>
      <c r="F80" s="116"/>
      <c r="G80" s="91">
        <f t="shared" si="1"/>
        <v>61.760000000000105</v>
      </c>
      <c r="H80" s="92"/>
      <c r="I80" s="92"/>
    </row>
    <row r="81" spans="1:9" ht="18" customHeight="1" x14ac:dyDescent="0.25">
      <c r="A81" s="58"/>
      <c r="B81" s="59"/>
      <c r="C81" s="66"/>
      <c r="D81" s="61" t="s">
        <v>17</v>
      </c>
      <c r="E81" s="62"/>
      <c r="F81" s="116"/>
      <c r="G81" s="91">
        <f t="shared" si="1"/>
        <v>61.760000000000105</v>
      </c>
      <c r="H81" s="92"/>
      <c r="I81" s="92"/>
    </row>
    <row r="82" spans="1:9" ht="18" customHeight="1" x14ac:dyDescent="0.25">
      <c r="A82" s="58"/>
      <c r="B82" s="59"/>
      <c r="C82" s="66"/>
      <c r="D82" s="61" t="s">
        <v>17</v>
      </c>
      <c r="E82" s="62"/>
      <c r="F82" s="116"/>
      <c r="G82" s="91">
        <f t="shared" si="1"/>
        <v>61.760000000000105</v>
      </c>
      <c r="H82" s="92"/>
      <c r="I82" s="92"/>
    </row>
    <row r="83" spans="1:9" ht="18" customHeight="1" x14ac:dyDescent="0.25">
      <c r="A83" s="58"/>
      <c r="B83" s="59"/>
      <c r="C83" s="66"/>
      <c r="D83" s="61" t="s">
        <v>17</v>
      </c>
      <c r="E83" s="62"/>
      <c r="F83" s="116"/>
      <c r="G83" s="91">
        <f t="shared" si="1"/>
        <v>61.760000000000105</v>
      </c>
      <c r="H83" s="92"/>
      <c r="I83" s="92"/>
    </row>
    <row r="84" spans="1:9" s="131" customFormat="1" ht="18" customHeight="1" x14ac:dyDescent="0.25">
      <c r="A84" s="125"/>
      <c r="B84" s="126"/>
      <c r="C84" s="66"/>
      <c r="D84" s="61" t="s">
        <v>17</v>
      </c>
      <c r="E84" s="128"/>
      <c r="F84" s="129"/>
      <c r="G84" s="91">
        <f t="shared" si="1"/>
        <v>61.760000000000105</v>
      </c>
      <c r="H84" s="92"/>
      <c r="I84" s="130"/>
    </row>
    <row r="85" spans="1:9" ht="18" customHeight="1" x14ac:dyDescent="0.25">
      <c r="A85" s="58"/>
      <c r="B85" s="59"/>
      <c r="C85" s="66"/>
      <c r="D85" s="61" t="s">
        <v>17</v>
      </c>
      <c r="E85" s="62"/>
      <c r="F85" s="116"/>
      <c r="G85" s="91">
        <f t="shared" si="1"/>
        <v>61.760000000000105</v>
      </c>
      <c r="H85" s="92"/>
      <c r="I85" s="130"/>
    </row>
    <row r="86" spans="1:9" ht="18" customHeight="1" x14ac:dyDescent="0.25">
      <c r="A86" s="58"/>
      <c r="B86" s="59"/>
      <c r="C86" s="66"/>
      <c r="D86" s="61" t="s">
        <v>17</v>
      </c>
      <c r="E86" s="62"/>
      <c r="F86" s="116"/>
      <c r="G86" s="91">
        <f t="shared" si="1"/>
        <v>61.760000000000105</v>
      </c>
      <c r="H86" s="92"/>
      <c r="I86" s="92"/>
    </row>
    <row r="87" spans="1:9" ht="18" customHeight="1" x14ac:dyDescent="0.25">
      <c r="A87" s="58"/>
      <c r="B87" s="59"/>
      <c r="C87" s="66"/>
      <c r="D87" s="61" t="s">
        <v>17</v>
      </c>
      <c r="E87" s="62"/>
      <c r="F87" s="116"/>
      <c r="G87" s="91">
        <f t="shared" si="1"/>
        <v>61.760000000000105</v>
      </c>
      <c r="H87" s="92"/>
      <c r="I87" s="92"/>
    </row>
    <row r="88" spans="1:9" ht="18" customHeight="1" x14ac:dyDescent="0.25">
      <c r="A88" s="58"/>
      <c r="B88" s="59"/>
      <c r="C88" s="66"/>
      <c r="D88" s="61" t="s">
        <v>17</v>
      </c>
      <c r="E88" s="62"/>
      <c r="F88" s="116"/>
      <c r="G88" s="91">
        <f t="shared" si="1"/>
        <v>61.760000000000105</v>
      </c>
      <c r="H88" s="92"/>
      <c r="I88" s="92"/>
    </row>
    <row r="89" spans="1:9" ht="18" customHeight="1" x14ac:dyDescent="0.25">
      <c r="A89" s="58"/>
      <c r="B89" s="59"/>
      <c r="C89" s="66"/>
      <c r="D89" s="61" t="s">
        <v>17</v>
      </c>
      <c r="E89" s="62"/>
      <c r="F89" s="116"/>
      <c r="G89" s="91">
        <f t="shared" si="1"/>
        <v>61.760000000000105</v>
      </c>
      <c r="H89" s="92"/>
      <c r="I89" s="92"/>
    </row>
    <row r="90" spans="1:9" ht="18" customHeight="1" x14ac:dyDescent="0.25">
      <c r="A90" s="58"/>
      <c r="B90" s="59"/>
      <c r="C90" s="66"/>
      <c r="D90" s="61" t="s">
        <v>17</v>
      </c>
      <c r="E90" s="62"/>
      <c r="F90" s="116"/>
      <c r="G90" s="91">
        <f t="shared" si="1"/>
        <v>61.760000000000105</v>
      </c>
      <c r="H90" s="92"/>
      <c r="I90" s="92"/>
    </row>
    <row r="91" spans="1:9" ht="18" customHeight="1" x14ac:dyDescent="0.25">
      <c r="A91" s="58"/>
      <c r="B91" s="59"/>
      <c r="C91" s="66"/>
      <c r="D91" s="61" t="s">
        <v>17</v>
      </c>
      <c r="E91" s="62"/>
      <c r="F91" s="116"/>
      <c r="G91" s="91">
        <f t="shared" si="1"/>
        <v>61.760000000000105</v>
      </c>
      <c r="H91" s="92"/>
      <c r="I91" s="92"/>
    </row>
    <row r="92" spans="1:9" ht="18" customHeight="1" x14ac:dyDescent="0.25">
      <c r="A92" s="58"/>
      <c r="B92" s="59"/>
      <c r="C92" s="66"/>
      <c r="D92" s="61" t="s">
        <v>17</v>
      </c>
      <c r="E92" s="62"/>
      <c r="F92" s="116"/>
      <c r="G92" s="91">
        <f t="shared" si="1"/>
        <v>61.760000000000105</v>
      </c>
      <c r="H92" s="92"/>
      <c r="I92" s="92"/>
    </row>
    <row r="93" spans="1:9" ht="18" customHeight="1" x14ac:dyDescent="0.25">
      <c r="A93" s="58"/>
      <c r="B93" s="59"/>
      <c r="C93" s="66"/>
      <c r="D93" s="61" t="s">
        <v>17</v>
      </c>
      <c r="E93" s="62"/>
      <c r="F93" s="116"/>
      <c r="G93" s="91">
        <f t="shared" si="1"/>
        <v>61.760000000000105</v>
      </c>
      <c r="H93" s="92"/>
      <c r="I93" s="92"/>
    </row>
    <row r="94" spans="1:9" ht="18" customHeight="1" x14ac:dyDescent="0.25">
      <c r="A94" s="58"/>
      <c r="B94" s="59"/>
      <c r="C94" s="66"/>
      <c r="D94" s="61" t="s">
        <v>17</v>
      </c>
      <c r="E94" s="62"/>
      <c r="F94" s="116"/>
      <c r="G94" s="91">
        <f t="shared" si="1"/>
        <v>61.760000000000105</v>
      </c>
      <c r="H94" s="92"/>
      <c r="I94" s="92"/>
    </row>
    <row r="95" spans="1:9" ht="18" customHeight="1" x14ac:dyDescent="0.25">
      <c r="A95" s="58"/>
      <c r="B95" s="59"/>
      <c r="C95" s="66"/>
      <c r="D95" s="61" t="s">
        <v>17</v>
      </c>
      <c r="E95" s="62"/>
      <c r="F95" s="116"/>
      <c r="G95" s="91">
        <f t="shared" si="1"/>
        <v>61.760000000000105</v>
      </c>
      <c r="H95" s="92"/>
      <c r="I95" s="92"/>
    </row>
    <row r="96" spans="1:9" ht="18" customHeight="1" x14ac:dyDescent="0.25">
      <c r="A96" s="58"/>
      <c r="B96" s="59"/>
      <c r="C96" s="66"/>
      <c r="D96" s="61" t="s">
        <v>17</v>
      </c>
      <c r="E96" s="62"/>
      <c r="F96" s="116"/>
      <c r="G96" s="91">
        <f t="shared" si="1"/>
        <v>61.760000000000105</v>
      </c>
      <c r="H96" s="92"/>
      <c r="I96" s="92"/>
    </row>
    <row r="97" spans="1:9" ht="18" customHeight="1" x14ac:dyDescent="0.25">
      <c r="A97" s="58"/>
      <c r="B97" s="59"/>
      <c r="C97" s="66"/>
      <c r="D97" s="61" t="s">
        <v>17</v>
      </c>
      <c r="E97" s="62"/>
      <c r="F97" s="116"/>
      <c r="G97" s="91">
        <f t="shared" si="1"/>
        <v>61.760000000000105</v>
      </c>
      <c r="H97" s="92"/>
      <c r="I97" s="92"/>
    </row>
    <row r="98" spans="1:9" ht="18" customHeight="1" x14ac:dyDescent="0.25">
      <c r="A98" s="58"/>
      <c r="B98" s="59"/>
      <c r="C98" s="66"/>
      <c r="D98" s="61" t="s">
        <v>17</v>
      </c>
      <c r="E98" s="62"/>
      <c r="F98" s="116"/>
      <c r="G98" s="91">
        <f t="shared" si="1"/>
        <v>61.760000000000105</v>
      </c>
      <c r="H98" s="92"/>
      <c r="I98" s="92"/>
    </row>
    <row r="99" spans="1:9" ht="18" customHeight="1" x14ac:dyDescent="0.25">
      <c r="A99" s="58"/>
      <c r="B99" s="59"/>
      <c r="C99" s="66"/>
      <c r="D99" s="61" t="s">
        <v>17</v>
      </c>
      <c r="E99" s="62"/>
      <c r="F99" s="116"/>
      <c r="G99" s="91">
        <f t="shared" si="1"/>
        <v>61.760000000000105</v>
      </c>
      <c r="H99" s="92"/>
      <c r="I99" s="92"/>
    </row>
    <row r="100" spans="1:9" ht="18" customHeight="1" x14ac:dyDescent="0.25">
      <c r="A100" s="58"/>
      <c r="B100" s="59"/>
      <c r="C100" s="66"/>
      <c r="D100" s="61" t="s">
        <v>17</v>
      </c>
      <c r="E100" s="62"/>
      <c r="F100" s="116"/>
      <c r="G100" s="91">
        <f t="shared" si="1"/>
        <v>61.760000000000105</v>
      </c>
      <c r="H100" s="92"/>
      <c r="I100" s="92"/>
    </row>
    <row r="101" spans="1:9" ht="18" customHeight="1" x14ac:dyDescent="0.25">
      <c r="A101" s="58"/>
      <c r="B101" s="59"/>
      <c r="C101" s="66"/>
      <c r="D101" s="61" t="s">
        <v>17</v>
      </c>
      <c r="E101" s="62"/>
      <c r="F101" s="116"/>
      <c r="G101" s="91">
        <f t="shared" si="1"/>
        <v>61.760000000000105</v>
      </c>
      <c r="H101" s="92"/>
      <c r="I101" s="95"/>
    </row>
    <row r="102" spans="1:9" ht="18" customHeight="1" x14ac:dyDescent="0.25">
      <c r="A102" s="58"/>
      <c r="B102" s="59"/>
      <c r="C102" s="66"/>
      <c r="D102" s="61" t="s">
        <v>17</v>
      </c>
      <c r="E102" s="62"/>
      <c r="F102" s="116"/>
      <c r="G102" s="91">
        <f t="shared" si="1"/>
        <v>61.760000000000105</v>
      </c>
      <c r="H102" s="92"/>
      <c r="I102" s="95"/>
    </row>
    <row r="103" spans="1:9" ht="18" customHeight="1" x14ac:dyDescent="0.25">
      <c r="A103" s="58"/>
      <c r="B103" s="59"/>
      <c r="C103" s="66"/>
      <c r="D103" s="61" t="s">
        <v>17</v>
      </c>
      <c r="E103" s="62"/>
      <c r="F103" s="116"/>
      <c r="G103" s="91">
        <f t="shared" si="1"/>
        <v>61.760000000000105</v>
      </c>
      <c r="H103" s="92"/>
      <c r="I103" s="95"/>
    </row>
    <row r="104" spans="1:9" ht="18" customHeight="1" x14ac:dyDescent="0.25">
      <c r="A104" s="58"/>
      <c r="B104" s="59"/>
      <c r="C104" s="66"/>
      <c r="D104" s="61" t="s">
        <v>17</v>
      </c>
      <c r="E104" s="62"/>
      <c r="F104" s="116"/>
      <c r="G104" s="91">
        <f t="shared" si="1"/>
        <v>61.760000000000105</v>
      </c>
      <c r="H104" s="92"/>
      <c r="I104" s="95"/>
    </row>
    <row r="105" spans="1:9" ht="18" customHeight="1" x14ac:dyDescent="0.25">
      <c r="A105" s="58"/>
      <c r="B105" s="59"/>
      <c r="C105" s="66"/>
      <c r="D105" s="61" t="s">
        <v>17</v>
      </c>
      <c r="E105" s="62"/>
      <c r="F105" s="116"/>
      <c r="G105" s="91">
        <f t="shared" si="1"/>
        <v>61.760000000000105</v>
      </c>
      <c r="H105" s="92"/>
      <c r="I105" s="95"/>
    </row>
    <row r="106" spans="1:9" ht="18" customHeight="1" x14ac:dyDescent="0.25">
      <c r="A106" s="58"/>
      <c r="B106" s="59"/>
      <c r="C106" s="66"/>
      <c r="D106" s="61" t="s">
        <v>17</v>
      </c>
      <c r="E106" s="62"/>
      <c r="F106" s="116"/>
      <c r="G106" s="91">
        <f t="shared" si="1"/>
        <v>61.760000000000105</v>
      </c>
      <c r="H106" s="92"/>
      <c r="I106" s="95"/>
    </row>
    <row r="107" spans="1:9" ht="18" customHeight="1" x14ac:dyDescent="0.25">
      <c r="A107" s="58"/>
      <c r="B107" s="59"/>
      <c r="C107" s="66"/>
      <c r="D107" s="61" t="s">
        <v>17</v>
      </c>
      <c r="E107" s="62"/>
      <c r="F107" s="116"/>
      <c r="G107" s="91">
        <f t="shared" si="1"/>
        <v>61.760000000000105</v>
      </c>
      <c r="H107" s="92"/>
      <c r="I107" s="95"/>
    </row>
    <row r="108" spans="1:9" ht="18" customHeight="1" x14ac:dyDescent="0.25">
      <c r="A108" s="58"/>
      <c r="B108" s="59"/>
      <c r="C108" s="66"/>
      <c r="D108" s="61" t="s">
        <v>17</v>
      </c>
      <c r="E108" s="62"/>
      <c r="F108" s="116"/>
      <c r="G108" s="91">
        <f t="shared" si="1"/>
        <v>61.760000000000105</v>
      </c>
      <c r="H108" s="92"/>
      <c r="I108" s="95"/>
    </row>
    <row r="109" spans="1:9" ht="18" customHeight="1" x14ac:dyDescent="0.25">
      <c r="A109" s="58"/>
      <c r="B109" s="59"/>
      <c r="C109" s="66"/>
      <c r="D109" s="61" t="s">
        <v>17</v>
      </c>
      <c r="E109" s="62"/>
      <c r="F109" s="116"/>
      <c r="G109" s="91">
        <f t="shared" si="1"/>
        <v>61.760000000000105</v>
      </c>
      <c r="H109" s="92"/>
      <c r="I109" s="95"/>
    </row>
    <row r="110" spans="1:9" ht="18" customHeight="1" x14ac:dyDescent="0.25">
      <c r="A110" s="58"/>
      <c r="B110" s="59"/>
      <c r="C110" s="66"/>
      <c r="D110" s="61" t="s">
        <v>17</v>
      </c>
      <c r="E110" s="62"/>
      <c r="F110" s="116"/>
      <c r="G110" s="91">
        <f t="shared" si="1"/>
        <v>61.760000000000105</v>
      </c>
      <c r="H110" s="92"/>
      <c r="I110" s="95"/>
    </row>
    <row r="111" spans="1:9" ht="18" customHeight="1" x14ac:dyDescent="0.25">
      <c r="A111" s="58"/>
      <c r="B111" s="59"/>
      <c r="C111" s="66"/>
      <c r="D111" s="61" t="s">
        <v>17</v>
      </c>
      <c r="E111" s="62"/>
      <c r="F111" s="116"/>
      <c r="G111" s="91">
        <f t="shared" si="1"/>
        <v>61.760000000000105</v>
      </c>
      <c r="H111" s="92"/>
      <c r="I111" s="95"/>
    </row>
    <row r="112" spans="1:9" ht="18" customHeight="1" x14ac:dyDescent="0.25">
      <c r="A112" s="58"/>
      <c r="B112" s="59"/>
      <c r="C112" s="66"/>
      <c r="D112" s="61" t="s">
        <v>17</v>
      </c>
      <c r="E112" s="62"/>
      <c r="F112" s="116"/>
      <c r="G112" s="91">
        <f t="shared" si="1"/>
        <v>61.760000000000105</v>
      </c>
      <c r="H112" s="92"/>
      <c r="I112" s="95"/>
    </row>
    <row r="113" spans="1:9" ht="18" customHeight="1" x14ac:dyDescent="0.25">
      <c r="A113" s="58"/>
      <c r="B113" s="59"/>
      <c r="C113" s="66"/>
      <c r="D113" s="61" t="s">
        <v>17</v>
      </c>
      <c r="E113" s="62"/>
      <c r="F113" s="116"/>
      <c r="G113" s="91">
        <f t="shared" si="1"/>
        <v>61.760000000000105</v>
      </c>
      <c r="H113" s="92"/>
      <c r="I113" s="95"/>
    </row>
    <row r="114" spans="1:9" ht="18" customHeight="1" x14ac:dyDescent="0.25">
      <c r="A114" s="58"/>
      <c r="B114" s="59"/>
      <c r="C114" s="66"/>
      <c r="D114" s="61" t="s">
        <v>17</v>
      </c>
      <c r="E114" s="62"/>
      <c r="F114" s="116"/>
      <c r="G114" s="91">
        <f t="shared" si="1"/>
        <v>61.760000000000105</v>
      </c>
      <c r="H114" s="92"/>
      <c r="I114" s="95"/>
    </row>
    <row r="115" spans="1:9" ht="18" customHeight="1" x14ac:dyDescent="0.25">
      <c r="A115" s="58"/>
      <c r="B115" s="59"/>
      <c r="C115" s="66"/>
      <c r="D115" s="61" t="s">
        <v>17</v>
      </c>
      <c r="E115" s="62"/>
      <c r="F115" s="116"/>
      <c r="G115" s="91">
        <f t="shared" si="1"/>
        <v>61.760000000000105</v>
      </c>
      <c r="H115" s="92"/>
      <c r="I115" s="95"/>
    </row>
    <row r="116" spans="1:9" ht="18" customHeight="1" x14ac:dyDescent="0.25">
      <c r="A116" s="58"/>
      <c r="B116" s="59"/>
      <c r="C116" s="66"/>
      <c r="D116" s="61" t="s">
        <v>17</v>
      </c>
      <c r="E116" s="62"/>
      <c r="F116" s="116"/>
      <c r="G116" s="91">
        <f t="shared" si="1"/>
        <v>61.760000000000105</v>
      </c>
      <c r="H116" s="92"/>
      <c r="I116" s="95"/>
    </row>
    <row r="117" spans="1:9" ht="18" customHeight="1" x14ac:dyDescent="0.25">
      <c r="A117" s="58"/>
      <c r="B117" s="59"/>
      <c r="C117" s="66"/>
      <c r="D117" s="61" t="s">
        <v>17</v>
      </c>
      <c r="E117" s="62"/>
      <c r="F117" s="116"/>
      <c r="G117" s="91">
        <f t="shared" si="1"/>
        <v>61.760000000000105</v>
      </c>
      <c r="H117" s="92"/>
      <c r="I117" s="95"/>
    </row>
    <row r="118" spans="1:9" ht="18" customHeight="1" x14ac:dyDescent="0.25">
      <c r="A118" s="58"/>
      <c r="B118" s="59"/>
      <c r="C118" s="66"/>
      <c r="D118" s="61" t="s">
        <v>17</v>
      </c>
      <c r="E118" s="62"/>
      <c r="F118" s="116"/>
      <c r="G118" s="91">
        <f t="shared" si="1"/>
        <v>61.760000000000105</v>
      </c>
      <c r="H118" s="92"/>
      <c r="I118" s="95"/>
    </row>
    <row r="119" spans="1:9" ht="18" customHeight="1" x14ac:dyDescent="0.25">
      <c r="A119" s="58"/>
      <c r="B119" s="59"/>
      <c r="C119" s="66"/>
      <c r="D119" s="61" t="s">
        <v>17</v>
      </c>
      <c r="E119" s="62"/>
      <c r="F119" s="116"/>
      <c r="G119" s="91">
        <f t="shared" si="1"/>
        <v>61.760000000000105</v>
      </c>
      <c r="H119" s="92"/>
      <c r="I119" s="95"/>
    </row>
    <row r="120" spans="1:9" ht="18" customHeight="1" x14ac:dyDescent="0.25">
      <c r="A120" s="58"/>
      <c r="B120" s="59"/>
      <c r="C120" s="66"/>
      <c r="D120" s="61" t="s">
        <v>17</v>
      </c>
      <c r="E120" s="62"/>
      <c r="F120" s="116"/>
      <c r="G120" s="91">
        <f t="shared" si="1"/>
        <v>61.760000000000105</v>
      </c>
      <c r="H120" s="92"/>
      <c r="I120" s="95"/>
    </row>
    <row r="121" spans="1:9" ht="18" customHeight="1" x14ac:dyDescent="0.25">
      <c r="A121" s="58"/>
      <c r="B121" s="59"/>
      <c r="C121" s="66"/>
      <c r="D121" s="61" t="s">
        <v>17</v>
      </c>
      <c r="E121" s="62"/>
      <c r="F121" s="116"/>
      <c r="G121" s="91">
        <f t="shared" si="1"/>
        <v>61.760000000000105</v>
      </c>
      <c r="H121" s="92"/>
      <c r="I121" s="95"/>
    </row>
    <row r="122" spans="1:9" ht="18" customHeight="1" x14ac:dyDescent="0.25">
      <c r="A122" s="58"/>
      <c r="B122" s="59"/>
      <c r="C122" s="66"/>
      <c r="D122" s="61" t="s">
        <v>17</v>
      </c>
      <c r="E122" s="62"/>
      <c r="F122" s="116"/>
      <c r="G122" s="91">
        <f t="shared" si="1"/>
        <v>61.760000000000105</v>
      </c>
      <c r="H122" s="92"/>
      <c r="I122" s="95"/>
    </row>
    <row r="123" spans="1:9" ht="18" customHeight="1" x14ac:dyDescent="0.25">
      <c r="A123" s="58"/>
      <c r="B123" s="59"/>
      <c r="C123" s="66"/>
      <c r="D123" s="61" t="s">
        <v>17</v>
      </c>
      <c r="E123" s="62"/>
      <c r="F123" s="116"/>
      <c r="G123" s="91">
        <f t="shared" si="1"/>
        <v>61.760000000000105</v>
      </c>
      <c r="H123" s="92"/>
      <c r="I123" s="95"/>
    </row>
    <row r="124" spans="1:9" ht="18" customHeight="1" x14ac:dyDescent="0.25">
      <c r="A124" s="58"/>
      <c r="B124" s="59"/>
      <c r="C124" s="66"/>
      <c r="D124" s="61" t="s">
        <v>17</v>
      </c>
      <c r="E124" s="62"/>
      <c r="F124" s="116"/>
      <c r="G124" s="91">
        <f t="shared" si="1"/>
        <v>61.760000000000105</v>
      </c>
      <c r="H124" s="92"/>
      <c r="I124" s="95"/>
    </row>
    <row r="125" spans="1:9" ht="18" customHeight="1" x14ac:dyDescent="0.25">
      <c r="A125" s="58"/>
      <c r="B125" s="59"/>
      <c r="C125" s="66"/>
      <c r="D125" s="61" t="s">
        <v>17</v>
      </c>
      <c r="E125" s="62"/>
      <c r="F125" s="116"/>
      <c r="G125" s="91">
        <f t="shared" si="1"/>
        <v>61.760000000000105</v>
      </c>
      <c r="H125" s="92"/>
      <c r="I125" s="95"/>
    </row>
    <row r="126" spans="1:9" ht="18" customHeight="1" x14ac:dyDescent="0.25">
      <c r="A126" s="58"/>
      <c r="B126" s="59"/>
      <c r="C126" s="66"/>
      <c r="D126" s="61" t="s">
        <v>17</v>
      </c>
      <c r="E126" s="62"/>
      <c r="F126" s="116"/>
      <c r="G126" s="91">
        <f t="shared" si="1"/>
        <v>61.760000000000105</v>
      </c>
      <c r="H126" s="92"/>
      <c r="I126" s="95"/>
    </row>
    <row r="127" spans="1:9" ht="18" customHeight="1" x14ac:dyDescent="0.25">
      <c r="A127" s="58"/>
      <c r="B127" s="59"/>
      <c r="C127" s="66"/>
      <c r="D127" s="61" t="s">
        <v>17</v>
      </c>
      <c r="E127" s="62"/>
      <c r="F127" s="116"/>
      <c r="G127" s="91">
        <f t="shared" si="1"/>
        <v>61.760000000000105</v>
      </c>
      <c r="H127" s="92"/>
      <c r="I127" s="95"/>
    </row>
    <row r="128" spans="1:9" ht="18" customHeight="1" x14ac:dyDescent="0.25">
      <c r="A128" s="58"/>
      <c r="B128" s="59"/>
      <c r="C128" s="66"/>
      <c r="D128" s="61" t="s">
        <v>17</v>
      </c>
      <c r="E128" s="62"/>
      <c r="F128" s="116"/>
      <c r="G128" s="91">
        <f t="shared" si="1"/>
        <v>61.760000000000105</v>
      </c>
      <c r="H128" s="92"/>
      <c r="I128" s="95"/>
    </row>
    <row r="129" spans="1:9" ht="18" customHeight="1" x14ac:dyDescent="0.25">
      <c r="A129" s="58"/>
      <c r="B129" s="59"/>
      <c r="C129" s="66"/>
      <c r="D129" s="61" t="s">
        <v>17</v>
      </c>
      <c r="E129" s="62"/>
      <c r="F129" s="116"/>
      <c r="G129" s="91">
        <f t="shared" si="1"/>
        <v>61.760000000000105</v>
      </c>
      <c r="H129" s="92"/>
      <c r="I129" s="95"/>
    </row>
    <row r="130" spans="1:9" ht="18" customHeight="1" x14ac:dyDescent="0.25">
      <c r="A130" s="58"/>
      <c r="B130" s="59"/>
      <c r="C130" s="66"/>
      <c r="D130" s="61" t="s">
        <v>17</v>
      </c>
      <c r="E130" s="62"/>
      <c r="F130" s="116"/>
      <c r="G130" s="91">
        <f t="shared" si="1"/>
        <v>61.760000000000105</v>
      </c>
      <c r="H130" s="92"/>
      <c r="I130" s="95"/>
    </row>
    <row r="131" spans="1:9" ht="18" customHeight="1" x14ac:dyDescent="0.25">
      <c r="A131" s="58"/>
      <c r="B131" s="59"/>
      <c r="C131" s="66"/>
      <c r="D131" s="61" t="s">
        <v>17</v>
      </c>
      <c r="E131" s="62"/>
      <c r="F131" s="116"/>
      <c r="G131" s="91">
        <f t="shared" si="1"/>
        <v>61.760000000000105</v>
      </c>
      <c r="H131" s="92"/>
      <c r="I131" s="95"/>
    </row>
    <row r="132" spans="1:9" ht="18" customHeight="1" x14ac:dyDescent="0.25">
      <c r="A132" s="58"/>
      <c r="B132" s="59"/>
      <c r="C132" s="66"/>
      <c r="D132" s="61" t="s">
        <v>17</v>
      </c>
      <c r="E132" s="62"/>
      <c r="F132" s="116"/>
      <c r="G132" s="91">
        <f t="shared" si="1"/>
        <v>61.760000000000105</v>
      </c>
      <c r="H132" s="92"/>
      <c r="I132" s="95"/>
    </row>
    <row r="133" spans="1:9" ht="18" customHeight="1" x14ac:dyDescent="0.25">
      <c r="A133" s="58"/>
      <c r="B133" s="59"/>
      <c r="C133" s="66"/>
      <c r="D133" s="61" t="s">
        <v>17</v>
      </c>
      <c r="E133" s="62"/>
      <c r="F133" s="116"/>
      <c r="G133" s="91">
        <f t="shared" si="1"/>
        <v>61.760000000000105</v>
      </c>
      <c r="H133" s="92"/>
      <c r="I133" s="95"/>
    </row>
    <row r="134" spans="1:9" ht="18" customHeight="1" x14ac:dyDescent="0.25">
      <c r="A134" s="58"/>
      <c r="B134" s="59"/>
      <c r="C134" s="66"/>
      <c r="D134" s="61" t="s">
        <v>17</v>
      </c>
      <c r="E134" s="62"/>
      <c r="F134" s="116"/>
      <c r="G134" s="91">
        <f t="shared" si="1"/>
        <v>61.760000000000105</v>
      </c>
      <c r="H134" s="92"/>
      <c r="I134" s="95"/>
    </row>
    <row r="135" spans="1:9" ht="18" customHeight="1" x14ac:dyDescent="0.25">
      <c r="A135" s="58"/>
      <c r="B135" s="59"/>
      <c r="C135" s="66"/>
      <c r="D135" s="61" t="s">
        <v>17</v>
      </c>
      <c r="E135" s="62"/>
      <c r="F135" s="116"/>
      <c r="G135" s="91">
        <f t="shared" si="1"/>
        <v>61.760000000000105</v>
      </c>
      <c r="H135" s="92"/>
      <c r="I135" s="95"/>
    </row>
    <row r="136" spans="1:9" ht="18" customHeight="1" x14ac:dyDescent="0.25">
      <c r="A136" s="58"/>
      <c r="B136" s="59"/>
      <c r="C136" s="66"/>
      <c r="D136" s="61" t="s">
        <v>17</v>
      </c>
      <c r="E136" s="62"/>
      <c r="F136" s="116"/>
      <c r="G136" s="91">
        <f t="shared" si="1"/>
        <v>61.760000000000105</v>
      </c>
      <c r="H136" s="92"/>
      <c r="I136" s="95"/>
    </row>
    <row r="137" spans="1:9" ht="18" customHeight="1" x14ac:dyDescent="0.25">
      <c r="A137" s="58"/>
      <c r="B137" s="59"/>
      <c r="C137" s="66"/>
      <c r="D137" s="61" t="s">
        <v>17</v>
      </c>
      <c r="E137" s="62"/>
      <c r="F137" s="116"/>
      <c r="G137" s="91">
        <f t="shared" si="1"/>
        <v>61.760000000000105</v>
      </c>
      <c r="H137" s="92"/>
      <c r="I137" s="95"/>
    </row>
    <row r="138" spans="1:9" ht="18" customHeight="1" x14ac:dyDescent="0.25">
      <c r="A138" s="58"/>
      <c r="B138" s="59"/>
      <c r="C138" s="66"/>
      <c r="D138" s="61" t="s">
        <v>17</v>
      </c>
      <c r="E138" s="62"/>
      <c r="F138" s="116"/>
      <c r="G138" s="91">
        <f t="shared" si="1"/>
        <v>61.760000000000105</v>
      </c>
      <c r="H138" s="92"/>
      <c r="I138" s="95"/>
    </row>
    <row r="139" spans="1:9" ht="18" customHeight="1" x14ac:dyDescent="0.25">
      <c r="A139" s="58"/>
      <c r="B139" s="59"/>
      <c r="C139" s="66"/>
      <c r="D139" s="61" t="s">
        <v>17</v>
      </c>
      <c r="E139" s="62"/>
      <c r="F139" s="116"/>
      <c r="G139" s="91">
        <f t="shared" ref="G139:G154" si="2">+G138+E139-F139</f>
        <v>61.760000000000105</v>
      </c>
      <c r="H139" s="92"/>
      <c r="I139" s="95"/>
    </row>
    <row r="140" spans="1:9" ht="18" customHeight="1" x14ac:dyDescent="0.25">
      <c r="A140" s="58"/>
      <c r="B140" s="59"/>
      <c r="C140" s="66"/>
      <c r="D140" s="61" t="s">
        <v>17</v>
      </c>
      <c r="E140" s="62"/>
      <c r="F140" s="116"/>
      <c r="G140" s="91">
        <f t="shared" si="2"/>
        <v>61.760000000000105</v>
      </c>
      <c r="H140" s="92"/>
      <c r="I140" s="95"/>
    </row>
    <row r="141" spans="1:9" ht="18" customHeight="1" x14ac:dyDescent="0.25">
      <c r="A141" s="58"/>
      <c r="B141" s="59"/>
      <c r="C141" s="66"/>
      <c r="D141" s="61" t="s">
        <v>17</v>
      </c>
      <c r="E141" s="62"/>
      <c r="F141" s="116"/>
      <c r="G141" s="91">
        <f t="shared" si="2"/>
        <v>61.760000000000105</v>
      </c>
      <c r="H141" s="92"/>
      <c r="I141" s="95"/>
    </row>
    <row r="142" spans="1:9" ht="18" customHeight="1" x14ac:dyDescent="0.25">
      <c r="A142" s="58"/>
      <c r="B142" s="59"/>
      <c r="C142" s="66"/>
      <c r="D142" s="61" t="s">
        <v>17</v>
      </c>
      <c r="E142" s="62"/>
      <c r="F142" s="116"/>
      <c r="G142" s="91">
        <f t="shared" si="2"/>
        <v>61.760000000000105</v>
      </c>
      <c r="H142" s="92"/>
      <c r="I142" s="95"/>
    </row>
    <row r="143" spans="1:9" ht="18" customHeight="1" x14ac:dyDescent="0.25">
      <c r="A143" s="58"/>
      <c r="B143" s="59"/>
      <c r="C143" s="66"/>
      <c r="D143" s="61" t="s">
        <v>17</v>
      </c>
      <c r="E143" s="62"/>
      <c r="F143" s="116"/>
      <c r="G143" s="91">
        <f t="shared" si="2"/>
        <v>61.760000000000105</v>
      </c>
      <c r="H143" s="92"/>
      <c r="I143" s="95"/>
    </row>
    <row r="144" spans="1:9" ht="18" customHeight="1" x14ac:dyDescent="0.25">
      <c r="A144" s="58"/>
      <c r="B144" s="59"/>
      <c r="C144" s="66"/>
      <c r="D144" s="61" t="s">
        <v>17</v>
      </c>
      <c r="E144" s="62"/>
      <c r="F144" s="116"/>
      <c r="G144" s="91">
        <f t="shared" si="2"/>
        <v>61.760000000000105</v>
      </c>
      <c r="H144" s="92"/>
      <c r="I144" s="95"/>
    </row>
    <row r="145" spans="1:9" ht="18" customHeight="1" x14ac:dyDescent="0.25">
      <c r="A145" s="58"/>
      <c r="B145" s="59"/>
      <c r="C145" s="66"/>
      <c r="D145" s="61" t="s">
        <v>17</v>
      </c>
      <c r="E145" s="62"/>
      <c r="F145" s="116"/>
      <c r="G145" s="91">
        <f t="shared" si="2"/>
        <v>61.760000000000105</v>
      </c>
      <c r="H145" s="92"/>
      <c r="I145" s="95"/>
    </row>
    <row r="146" spans="1:9" ht="18" customHeight="1" x14ac:dyDescent="0.25">
      <c r="A146" s="58"/>
      <c r="B146" s="59"/>
      <c r="C146" s="66"/>
      <c r="D146" s="61" t="s">
        <v>17</v>
      </c>
      <c r="E146" s="62"/>
      <c r="F146" s="116"/>
      <c r="G146" s="91">
        <f t="shared" si="2"/>
        <v>61.760000000000105</v>
      </c>
      <c r="H146" s="92"/>
      <c r="I146" s="95"/>
    </row>
    <row r="147" spans="1:9" ht="18" customHeight="1" x14ac:dyDescent="0.25">
      <c r="A147" s="58"/>
      <c r="B147" s="59"/>
      <c r="C147" s="66"/>
      <c r="D147" s="61" t="s">
        <v>17</v>
      </c>
      <c r="E147" s="62"/>
      <c r="F147" s="116"/>
      <c r="G147" s="91">
        <f t="shared" si="2"/>
        <v>61.760000000000105</v>
      </c>
      <c r="H147" s="92"/>
      <c r="I147" s="95"/>
    </row>
    <row r="148" spans="1:9" ht="18" customHeight="1" x14ac:dyDescent="0.25">
      <c r="A148" s="58"/>
      <c r="B148" s="59"/>
      <c r="C148" s="66"/>
      <c r="D148" s="61" t="s">
        <v>17</v>
      </c>
      <c r="E148" s="62"/>
      <c r="F148" s="116"/>
      <c r="G148" s="91">
        <f t="shared" si="2"/>
        <v>61.760000000000105</v>
      </c>
      <c r="H148" s="92"/>
      <c r="I148" s="95"/>
    </row>
    <row r="149" spans="1:9" ht="18" customHeight="1" x14ac:dyDescent="0.25">
      <c r="A149" s="58"/>
      <c r="B149" s="59"/>
      <c r="C149" s="66"/>
      <c r="D149" s="61" t="s">
        <v>17</v>
      </c>
      <c r="E149" s="62"/>
      <c r="F149" s="116"/>
      <c r="G149" s="91">
        <f t="shared" si="2"/>
        <v>61.760000000000105</v>
      </c>
      <c r="H149" s="92"/>
      <c r="I149" s="95"/>
    </row>
    <row r="150" spans="1:9" ht="18" customHeight="1" x14ac:dyDescent="0.25">
      <c r="A150" s="58"/>
      <c r="B150" s="59"/>
      <c r="C150" s="66"/>
      <c r="D150" s="61" t="s">
        <v>17</v>
      </c>
      <c r="E150" s="62"/>
      <c r="F150" s="116"/>
      <c r="G150" s="91">
        <f t="shared" si="2"/>
        <v>61.760000000000105</v>
      </c>
      <c r="H150" s="92"/>
      <c r="I150" s="95"/>
    </row>
    <row r="151" spans="1:9" ht="18" customHeight="1" x14ac:dyDescent="0.25">
      <c r="A151" s="58"/>
      <c r="B151" s="59"/>
      <c r="C151" s="66"/>
      <c r="D151" s="61" t="s">
        <v>17</v>
      </c>
      <c r="E151" s="62"/>
      <c r="F151" s="116"/>
      <c r="G151" s="91">
        <f t="shared" si="2"/>
        <v>61.760000000000105</v>
      </c>
      <c r="H151" s="92"/>
      <c r="I151" s="95"/>
    </row>
    <row r="152" spans="1:9" ht="18" customHeight="1" x14ac:dyDescent="0.25">
      <c r="A152" s="58"/>
      <c r="B152" s="59"/>
      <c r="C152" s="66"/>
      <c r="D152" s="61" t="s">
        <v>17</v>
      </c>
      <c r="E152" s="62"/>
      <c r="F152" s="116"/>
      <c r="G152" s="91">
        <f t="shared" si="2"/>
        <v>61.760000000000105</v>
      </c>
      <c r="H152" s="100"/>
      <c r="I152" s="95"/>
    </row>
    <row r="153" spans="1:9" x14ac:dyDescent="0.25">
      <c r="A153" s="65"/>
      <c r="B153" s="59"/>
      <c r="C153" s="101"/>
      <c r="D153" s="61" t="s">
        <v>17</v>
      </c>
      <c r="E153" s="123"/>
      <c r="F153" s="117"/>
      <c r="G153" s="91">
        <f t="shared" si="2"/>
        <v>61.760000000000105</v>
      </c>
      <c r="H153" s="102"/>
      <c r="I153" s="82"/>
    </row>
    <row r="154" spans="1:9" x14ac:dyDescent="0.25">
      <c r="A154" s="65"/>
      <c r="B154" s="73"/>
      <c r="C154" s="58"/>
      <c r="D154" s="61" t="s">
        <v>17</v>
      </c>
      <c r="E154" s="124"/>
      <c r="F154" s="118"/>
      <c r="G154" s="91">
        <f t="shared" si="2"/>
        <v>61.760000000000105</v>
      </c>
      <c r="H154" s="103"/>
      <c r="I154" s="82"/>
    </row>
    <row r="155" spans="1:9" x14ac:dyDescent="0.25">
      <c r="A155" s="58"/>
      <c r="B155" s="58"/>
      <c r="C155" s="77" t="s">
        <v>13</v>
      </c>
      <c r="D155" s="65"/>
      <c r="E155" s="119">
        <f>SUM(E9:E154)</f>
        <v>710.24</v>
      </c>
      <c r="F155" s="119">
        <f>SUM(F9:F154)</f>
        <v>648.48000000000047</v>
      </c>
      <c r="G155" s="132">
        <f>E155-F155+G8</f>
        <v>61.759999999999536</v>
      </c>
      <c r="H155" s="104"/>
      <c r="I155" s="105"/>
    </row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333D-611F-4438-A99F-DD63027A3392}">
  <sheetPr codeName="Sheet25"/>
  <dimension ref="A1:C24"/>
  <sheetViews>
    <sheetView tabSelected="1" workbookViewId="0">
      <selection activeCell="E6" sqref="E6"/>
    </sheetView>
  </sheetViews>
  <sheetFormatPr defaultRowHeight="15" x14ac:dyDescent="0.25"/>
  <cols>
    <col min="1" max="1" width="23.85546875" bestFit="1" customWidth="1"/>
    <col min="2" max="2" width="20.140625" bestFit="1" customWidth="1"/>
    <col min="3" max="3" width="21" bestFit="1" customWidth="1"/>
  </cols>
  <sheetData>
    <row r="1" spans="1:3" s="274" customFormat="1" x14ac:dyDescent="0.25">
      <c r="A1" s="274" t="s">
        <v>154</v>
      </c>
      <c r="B1" s="274" t="s">
        <v>155</v>
      </c>
      <c r="C1" s="274" t="s">
        <v>156</v>
      </c>
    </row>
    <row r="2" spans="1:3" x14ac:dyDescent="0.25">
      <c r="A2" t="s">
        <v>178</v>
      </c>
      <c r="B2" t="s">
        <v>12</v>
      </c>
      <c r="C2">
        <v>271</v>
      </c>
    </row>
    <row r="3" spans="1:3" x14ac:dyDescent="0.25">
      <c r="A3" t="s">
        <v>173</v>
      </c>
      <c r="B3" t="s">
        <v>12</v>
      </c>
      <c r="C3">
        <v>0</v>
      </c>
    </row>
    <row r="4" spans="1:3" x14ac:dyDescent="0.25">
      <c r="A4" t="s">
        <v>174</v>
      </c>
      <c r="B4" t="s">
        <v>12</v>
      </c>
      <c r="C4">
        <v>297</v>
      </c>
    </row>
    <row r="5" spans="1:3" x14ac:dyDescent="0.25">
      <c r="A5" t="s">
        <v>175</v>
      </c>
      <c r="B5" t="s">
        <v>12</v>
      </c>
      <c r="C5">
        <v>0</v>
      </c>
    </row>
    <row r="6" spans="1:3" x14ac:dyDescent="0.25">
      <c r="A6" t="s">
        <v>176</v>
      </c>
      <c r="B6" t="s">
        <v>12</v>
      </c>
      <c r="C6">
        <v>0</v>
      </c>
    </row>
    <row r="7" spans="1:3" x14ac:dyDescent="0.25">
      <c r="A7" t="s">
        <v>177</v>
      </c>
      <c r="B7" t="s">
        <v>12</v>
      </c>
      <c r="C7">
        <v>82</v>
      </c>
    </row>
    <row r="8" spans="1:3" x14ac:dyDescent="0.25">
      <c r="A8" t="s">
        <v>159</v>
      </c>
      <c r="B8" t="s">
        <v>19</v>
      </c>
      <c r="C8">
        <v>0</v>
      </c>
    </row>
    <row r="9" spans="1:3" x14ac:dyDescent="0.25">
      <c r="A9" t="s">
        <v>160</v>
      </c>
      <c r="B9" t="s">
        <v>19</v>
      </c>
      <c r="C9">
        <v>1922.1999999999534</v>
      </c>
    </row>
    <row r="10" spans="1:3" x14ac:dyDescent="0.25">
      <c r="A10" t="s">
        <v>161</v>
      </c>
      <c r="B10" t="s">
        <v>19</v>
      </c>
      <c r="C10">
        <v>0</v>
      </c>
    </row>
    <row r="11" spans="1:3" x14ac:dyDescent="0.25">
      <c r="A11" t="s">
        <v>162</v>
      </c>
      <c r="B11" t="s">
        <v>19</v>
      </c>
      <c r="C11">
        <v>0</v>
      </c>
    </row>
    <row r="12" spans="1:3" x14ac:dyDescent="0.25">
      <c r="A12" t="s">
        <v>163</v>
      </c>
      <c r="B12" t="s">
        <v>19</v>
      </c>
      <c r="C12">
        <v>1834.3999999999996</v>
      </c>
    </row>
    <row r="13" spans="1:3" x14ac:dyDescent="0.25">
      <c r="A13" t="s">
        <v>164</v>
      </c>
      <c r="B13" t="s">
        <v>19</v>
      </c>
      <c r="C13">
        <v>23</v>
      </c>
    </row>
    <row r="14" spans="1:3" x14ac:dyDescent="0.25">
      <c r="A14" t="s">
        <v>165</v>
      </c>
      <c r="B14" t="s">
        <v>19</v>
      </c>
      <c r="C14">
        <v>526.09999999999854</v>
      </c>
    </row>
    <row r="15" spans="1:3" x14ac:dyDescent="0.25">
      <c r="A15" t="s">
        <v>166</v>
      </c>
      <c r="B15" t="s">
        <v>19</v>
      </c>
      <c r="C15">
        <v>0</v>
      </c>
    </row>
    <row r="16" spans="1:3" x14ac:dyDescent="0.25">
      <c r="A16" t="s">
        <v>167</v>
      </c>
      <c r="B16" t="s">
        <v>19</v>
      </c>
      <c r="C16">
        <v>1014</v>
      </c>
    </row>
    <row r="17" spans="1:3" x14ac:dyDescent="0.25">
      <c r="A17" t="s">
        <v>157</v>
      </c>
      <c r="B17" t="s">
        <v>55</v>
      </c>
      <c r="C17">
        <v>0</v>
      </c>
    </row>
    <row r="18" spans="1:3" x14ac:dyDescent="0.25">
      <c r="A18" t="s">
        <v>158</v>
      </c>
      <c r="B18" t="s">
        <v>55</v>
      </c>
      <c r="C18">
        <v>0</v>
      </c>
    </row>
    <row r="19" spans="1:3" x14ac:dyDescent="0.25">
      <c r="A19" t="s">
        <v>168</v>
      </c>
      <c r="B19" t="s">
        <v>55</v>
      </c>
      <c r="C19">
        <v>0</v>
      </c>
    </row>
    <row r="20" spans="1:3" x14ac:dyDescent="0.25">
      <c r="A20" t="s">
        <v>169</v>
      </c>
      <c r="B20" t="s">
        <v>17</v>
      </c>
      <c r="C20">
        <v>63.900000000000006</v>
      </c>
    </row>
    <row r="21" spans="1:3" x14ac:dyDescent="0.25">
      <c r="A21" t="s">
        <v>170</v>
      </c>
      <c r="B21" t="s">
        <v>17</v>
      </c>
      <c r="C21">
        <v>0</v>
      </c>
    </row>
    <row r="22" spans="1:3" x14ac:dyDescent="0.25">
      <c r="A22" t="s">
        <v>171</v>
      </c>
      <c r="B22" t="s">
        <v>17</v>
      </c>
      <c r="C22">
        <v>0</v>
      </c>
    </row>
    <row r="23" spans="1:3" x14ac:dyDescent="0.25">
      <c r="A23" t="s">
        <v>172</v>
      </c>
      <c r="B23" t="s">
        <v>17</v>
      </c>
      <c r="C23">
        <v>23.699999999999989</v>
      </c>
    </row>
    <row r="24" spans="1:3" x14ac:dyDescent="0.25">
      <c r="A24" t="s">
        <v>179</v>
      </c>
      <c r="B24" t="s">
        <v>17</v>
      </c>
      <c r="C24">
        <v>61.759999999999536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Bảng tổng</vt:lpstr>
      <vt:lpstr>THÙNG OTAKMI320,80</vt:lpstr>
      <vt:lpstr>THÙNG OTAKAMI320,76</vt:lpstr>
      <vt:lpstr>THÙNG OTAKAMI180,80  </vt:lpstr>
      <vt:lpstr>Thùng otakami 700,80</vt:lpstr>
      <vt:lpstr>Thùng otakami 700,76 </vt:lpstr>
      <vt:lpstr>Thùng otakami 160,80</vt:lpstr>
      <vt:lpstr>Phôi DL 15,2L</vt:lpstr>
      <vt:lpstr>Phôi DL 15,5. 2 L</vt:lpstr>
      <vt:lpstr>Phôi DL 18,2L.700g</vt:lpstr>
      <vt:lpstr>Phôi DL 18,1L.700g ,2 L</vt:lpstr>
      <vt:lpstr>Phôi DL 23,2L.160m</vt:lpstr>
      <vt:lpstr>Phôi DL 18,2L.600g </vt:lpstr>
      <vt:lpstr>Phôi DL 16,2L.180m</vt:lpstr>
      <vt:lpstr>Phôi DL 18,1L,600</vt:lpstr>
      <vt:lpstr>Phôi DL 18,5,2L</vt:lpstr>
      <vt:lpstr>Lõi 76</vt:lpstr>
      <vt:lpstr>Lõi 80</vt:lpstr>
      <vt:lpstr>Lõi 87</vt:lpstr>
      <vt:lpstr>Bao trắng 600g,bb,80 </vt:lpstr>
      <vt:lpstr>Bao trắng 320 M ,C </vt:lpstr>
      <vt:lpstr>Bao 320 M ,76 MTL</vt:lpstr>
      <vt:lpstr>Bao trắng 4, 320 M,76 MTL</vt:lpstr>
      <vt:lpstr>màng co</vt:lpstr>
      <vt:lpstr>Tong hop NVL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Manh Nguyen</cp:lastModifiedBy>
  <cp:lastPrinted>2025-06-02T01:39:49Z</cp:lastPrinted>
  <dcterms:created xsi:type="dcterms:W3CDTF">2020-11-24T02:33:50Z</dcterms:created>
  <dcterms:modified xsi:type="dcterms:W3CDTF">2025-10-20T02:35:24Z</dcterms:modified>
</cp:coreProperties>
</file>