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Production\myproject\"/>
    </mc:Choice>
  </mc:AlternateContent>
  <xr:revisionPtr revIDLastSave="0" documentId="13_ncr:1_{8F147942-BC51-4DFA-B921-79DAFE734ED1}" xr6:coauthVersionLast="47" xr6:coauthVersionMax="47" xr10:uidLastSave="{00000000-0000-0000-0000-000000000000}"/>
  <bookViews>
    <workbookView xWindow="-120" yWindow="-120" windowWidth="29040" windowHeight="15720" activeTab="4" xr2:uid="{5EFAD880-6FD6-41DC-A71D-8EAC066A0F0F}"/>
  </bookViews>
  <sheets>
    <sheet name="gvsCN" sheetId="1" r:id="rId1"/>
    <sheet name="gvs nhỏ" sheetId="2" r:id="rId2"/>
    <sheet name="Sheet1" sheetId="10" r:id="rId3"/>
    <sheet name="Rút đáy" sheetId="3" r:id="rId4"/>
    <sheet name="Rút trên" sheetId="4" r:id="rId5"/>
    <sheet name="Máy 760" sheetId="5" r:id="rId6"/>
    <sheet name="NK23" sheetId="6" r:id="rId7"/>
    <sheet name="NK24" sheetId="7" r:id="rId8"/>
    <sheet name="NK33" sheetId="8" r:id="rId9"/>
    <sheet name="hàng gia công" sheetId="9" r:id="rId10"/>
  </sheets>
  <externalReferences>
    <externalReference r:id="rId11"/>
    <externalReference r:id="rId12"/>
  </externalReferences>
  <definedNames>
    <definedName name="_xlnm._FilterDatabase" localSheetId="1" hidden="1">'gvs nhỏ'!$B$3:$K$3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9" l="1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4" i="9"/>
  <c r="E6" i="8"/>
  <c r="E7" i="8"/>
  <c r="E8" i="8"/>
  <c r="E9" i="8"/>
  <c r="E10" i="8"/>
  <c r="E11" i="8"/>
  <c r="E12" i="8"/>
  <c r="E13" i="8"/>
  <c r="E14" i="8"/>
  <c r="E15" i="8"/>
  <c r="E16" i="8"/>
  <c r="E5" i="8"/>
  <c r="B1" i="8"/>
  <c r="B2" i="8" s="1"/>
  <c r="B3" i="8" s="1"/>
  <c r="B10" i="8"/>
  <c r="B11" i="8" s="1"/>
  <c r="B12" i="8" s="1"/>
  <c r="B14" i="8"/>
  <c r="B15" i="8" s="1"/>
  <c r="B16" i="8" s="1"/>
  <c r="B6" i="8"/>
  <c r="B7" i="8" s="1"/>
  <c r="B8" i="8" s="1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7" i="7"/>
  <c r="B1" i="7"/>
  <c r="B2" i="7" s="1"/>
  <c r="B3" i="7" s="1"/>
  <c r="B4" i="7" s="1"/>
  <c r="B13" i="7"/>
  <c r="B14" i="7" s="1"/>
  <c r="B15" i="7" s="1"/>
  <c r="B16" i="7" s="1"/>
  <c r="B18" i="7"/>
  <c r="B19" i="7" s="1"/>
  <c r="B20" i="7" s="1"/>
  <c r="B21" i="7" s="1"/>
  <c r="B8" i="7"/>
  <c r="B9" i="7" s="1"/>
  <c r="B10" i="7" s="1"/>
  <c r="B11" i="7" s="1"/>
  <c r="E6" i="6"/>
  <c r="E7" i="6"/>
  <c r="E8" i="6"/>
  <c r="E9" i="6"/>
  <c r="E10" i="6"/>
  <c r="E11" i="6"/>
  <c r="E12" i="6"/>
  <c r="E13" i="6"/>
  <c r="E14" i="6"/>
  <c r="E15" i="6"/>
  <c r="E16" i="6"/>
  <c r="E17" i="6"/>
  <c r="E5" i="6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5" i="5"/>
  <c r="B1" i="6"/>
  <c r="B2" i="6" s="1"/>
  <c r="B10" i="6"/>
  <c r="B11" i="6" s="1"/>
  <c r="B12" i="6" s="1"/>
  <c r="B13" i="6" s="1"/>
  <c r="B15" i="6"/>
  <c r="B16" i="6" s="1"/>
  <c r="B17" i="6" s="1"/>
  <c r="B6" i="6"/>
  <c r="B7" i="6" s="1"/>
  <c r="B8" i="6" s="1"/>
  <c r="B2" i="5"/>
  <c r="B4" i="5"/>
  <c r="B13" i="5"/>
  <c r="B14" i="5" s="1"/>
  <c r="B15" i="5" s="1"/>
  <c r="B17" i="5"/>
  <c r="B18" i="5" s="1"/>
  <c r="B19" i="5" s="1"/>
  <c r="B21" i="5"/>
  <c r="B22" i="5" s="1"/>
  <c r="B23" i="5" s="1"/>
  <c r="B24" i="5" s="1"/>
  <c r="B26" i="5"/>
  <c r="B27" i="5" s="1"/>
  <c r="B28" i="5" s="1"/>
  <c r="B29" i="5" s="1"/>
  <c r="B31" i="5"/>
  <c r="B32" i="5" s="1"/>
  <c r="B33" i="5" s="1"/>
  <c r="B34" i="5" s="1"/>
  <c r="B36" i="5"/>
  <c r="B37" i="5" s="1"/>
  <c r="B38" i="5" s="1"/>
  <c r="B6" i="5"/>
  <c r="B7" i="5" s="1"/>
  <c r="B8" i="5" s="1"/>
  <c r="B9" i="5" s="1"/>
  <c r="B10" i="5" s="1"/>
  <c r="B11" i="5" s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" i="4"/>
  <c r="B1" i="4"/>
  <c r="B2" i="4" s="1"/>
  <c r="B4" i="4"/>
  <c r="B11" i="4"/>
  <c r="B12" i="4"/>
  <c r="B13" i="4" s="1"/>
  <c r="B14" i="4" s="1"/>
  <c r="B16" i="4"/>
  <c r="B17" i="4" s="1"/>
  <c r="B18" i="4" s="1"/>
  <c r="B19" i="4" s="1"/>
  <c r="B21" i="4"/>
  <c r="B22" i="4"/>
  <c r="B23" i="4" s="1"/>
  <c r="B24" i="4" s="1"/>
  <c r="B25" i="4" s="1"/>
  <c r="B27" i="4"/>
  <c r="B28" i="4" s="1"/>
  <c r="B29" i="4" s="1"/>
  <c r="B30" i="4" s="1"/>
  <c r="B32" i="4"/>
  <c r="B33" i="4" s="1"/>
  <c r="B34" i="4" s="1"/>
  <c r="B36" i="4"/>
  <c r="B37" i="4"/>
  <c r="B38" i="4" s="1"/>
  <c r="B39" i="4" s="1"/>
  <c r="B41" i="4"/>
  <c r="B42" i="4"/>
  <c r="B43" i="4" s="1"/>
  <c r="B44" i="4" s="1"/>
  <c r="B46" i="4"/>
  <c r="B47" i="4"/>
  <c r="B48" i="4" s="1"/>
  <c r="B50" i="4"/>
  <c r="B51" i="4" s="1"/>
  <c r="B52" i="4" s="1"/>
  <c r="B54" i="4"/>
  <c r="B55" i="4" s="1"/>
  <c r="B56" i="4" s="1"/>
  <c r="B6" i="4"/>
  <c r="B7" i="4" s="1"/>
  <c r="B8" i="4" s="1"/>
  <c r="B9" i="4" s="1"/>
  <c r="E19" i="3"/>
  <c r="E20" i="3"/>
  <c r="E18" i="3"/>
  <c r="E16" i="3"/>
  <c r="E17" i="3"/>
  <c r="E14" i="3"/>
  <c r="E15" i="3"/>
  <c r="E8" i="3"/>
  <c r="E9" i="3"/>
  <c r="E10" i="3"/>
  <c r="E11" i="3"/>
  <c r="E12" i="3"/>
  <c r="E13" i="3"/>
  <c r="E6" i="3"/>
  <c r="E7" i="3"/>
  <c r="E5" i="3"/>
  <c r="B1" i="3"/>
  <c r="B2" i="3" s="1"/>
  <c r="B4" i="3"/>
  <c r="B14" i="3"/>
  <c r="B15" i="3" s="1"/>
  <c r="B16" i="3" s="1"/>
  <c r="B17" i="3" s="1"/>
  <c r="B18" i="3" s="1"/>
  <c r="B19" i="3" s="1"/>
  <c r="B20" i="3" s="1"/>
  <c r="B6" i="3"/>
  <c r="B7" i="3" s="1"/>
  <c r="B8" i="3" s="1"/>
  <c r="B9" i="3" s="1"/>
  <c r="B10" i="3" s="1"/>
  <c r="B11" i="3" s="1"/>
  <c r="B12" i="3" s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5" i="2"/>
  <c r="E6" i="2"/>
  <c r="E7" i="2"/>
  <c r="E8" i="2"/>
  <c r="E4" i="2"/>
  <c r="B1" i="2"/>
  <c r="B2" i="2" s="1"/>
  <c r="B17" i="2"/>
  <c r="B18" i="2" s="1"/>
  <c r="B19" i="2" s="1"/>
  <c r="B20" i="2" s="1"/>
  <c r="B21" i="2" s="1"/>
  <c r="B22" i="2" s="1"/>
  <c r="B23" i="2" s="1"/>
  <c r="B25" i="2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7" i="2"/>
  <c r="B38" i="2" s="1"/>
  <c r="B39" i="2" s="1"/>
  <c r="B40" i="2" s="1"/>
  <c r="B41" i="2" s="1"/>
  <c r="B42" i="2" s="1"/>
  <c r="B43" i="2" s="1"/>
  <c r="B45" i="2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2" i="2"/>
  <c r="B63" i="2" s="1"/>
  <c r="B64" i="2" s="1"/>
  <c r="B65" i="2" s="1"/>
  <c r="B66" i="2" s="1"/>
  <c r="B67" i="2" s="1"/>
  <c r="B68" i="2" s="1"/>
  <c r="B69" i="2" s="1"/>
  <c r="B70" i="2" s="1"/>
  <c r="B71" i="2" s="1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2" i="1"/>
  <c r="B1" i="1" l="1"/>
  <c r="B21" i="1"/>
  <c r="B25" i="1"/>
  <c r="B26" i="1" s="1"/>
  <c r="B27" i="1" s="1"/>
  <c r="B28" i="1" s="1"/>
  <c r="B29" i="1" s="1"/>
  <c r="B30" i="1" s="1"/>
  <c r="B31" i="1" s="1"/>
  <c r="B33" i="1"/>
  <c r="B34" i="1" s="1"/>
  <c r="B38" i="1"/>
  <c r="B42" i="1"/>
  <c r="B43" i="1" s="1"/>
  <c r="B44" i="1" s="1"/>
  <c r="B45" i="1" s="1"/>
  <c r="B46" i="1" s="1"/>
  <c r="B47" i="1" s="1"/>
  <c r="B48" i="1" s="1"/>
  <c r="B49" i="1" s="1"/>
  <c r="B52" i="1"/>
  <c r="B56" i="1"/>
  <c r="B57" i="1" s="1"/>
  <c r="B58" i="1" s="1"/>
  <c r="B59" i="1" s="1"/>
  <c r="B60" i="1" s="1"/>
  <c r="B61" i="1" s="1"/>
  <c r="B62" i="1" s="1"/>
  <c r="B63" i="1" s="1"/>
  <c r="B65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A1" i="9" l="1"/>
  <c r="A3" i="9"/>
  <c r="B1" i="9"/>
  <c r="B3" i="9"/>
  <c r="H19" i="4" l="1"/>
  <c r="I19" i="4" s="1"/>
  <c r="G25" i="4"/>
  <c r="F21" i="7"/>
  <c r="F16" i="7"/>
  <c r="F11" i="7"/>
  <c r="H23" i="1"/>
  <c r="K23" i="1"/>
  <c r="L23" i="1" s="1"/>
  <c r="H14" i="7" l="1"/>
  <c r="F19" i="7"/>
  <c r="F18" i="7"/>
  <c r="F14" i="7" l="1"/>
  <c r="F13" i="7"/>
  <c r="F12" i="7"/>
  <c r="F10" i="7"/>
  <c r="F8" i="7"/>
  <c r="F7" i="7"/>
  <c r="H1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1" authorId="0" shapeId="0" xr:uid="{8B777AFD-D536-4332-9216-9DFE76B677B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dùng máy cắt và đóng gói mới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37" authorId="0" shapeId="0" xr:uid="{B0383BB9-6B86-4CC1-B0C1-E9895BFDAF4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5" authorId="0" shapeId="0" xr:uid="{00CA6BE9-D3F6-4A27-BAC1-DEEADD4A1C3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dùng máy cắt và đóng gói mới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D11" authorId="0" shapeId="0" xr:uid="{56D504E0-0679-494B-A488-CE492565E96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0" shapeId="0" xr:uid="{36707025-2E58-46B7-8737-962B9C3B6098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<sst xmlns="http://schemas.openxmlformats.org/spreadsheetml/2006/main" count="815" uniqueCount="189">
  <si>
    <t>GVS Shelton Công nghiệp 700g 2 lớp có màng bọc</t>
  </si>
  <si>
    <t>GVS Shelton Công nghiệp 700g 3 lớp có màng bọc</t>
  </si>
  <si>
    <t>Giấy vệ sinh  Shera công nghiệp tái chế 2 lớp 700g</t>
  </si>
  <si>
    <t>Giấy vệ sinh  Shera công nghiệp tái chế  3 lớp 600g</t>
  </si>
  <si>
    <t>Giấy vệ sinh Shelton Hoa văn tròn dây 10 cuộn 3 lớp không lõi (xanh dương)</t>
  </si>
  <si>
    <t>Giấy vệ sinh Shelton Hoa văn tròn dây 12 cuộn 3 lớp có lõi</t>
  </si>
  <si>
    <t>Giấy vệ sinh Shelton Hoa văn tròn dây 12 cuộn 3 lớp không lõi</t>
  </si>
  <si>
    <t>Giấy vệ sinh Shelton Hoa văn tròn dây 10 cuộn 2 lớp có lõi</t>
  </si>
  <si>
    <t>Giấy vệ sinh  Shera 2 lớp 12 cuộn có lõi 70g (phôi XG)</t>
  </si>
  <si>
    <t>Khăn Soft pack Shelton Lá xanh 250 tờ 2 lớp khổ 190x200mm</t>
  </si>
  <si>
    <t>Khăn Soft pack Shelton Hoa văn tròn 250 tờ 2 lớp khổ 190x200mm</t>
  </si>
  <si>
    <t>Khăn hộp vuông Shelton trắng trơn 80 tờ 2 lớp</t>
  </si>
  <si>
    <t>Khăn hộp vuông Shelton trắng trơn 120 tờ 2 lớp</t>
  </si>
  <si>
    <t>Khăn lau đa năng 2 lớp 100 tờ khổ 190*200</t>
  </si>
  <si>
    <t>Máy khăn Napkin  (máy cũ 23x23)</t>
  </si>
  <si>
    <t>Khăn Napkin Shelton 1 lớp Hoa văn tròn 100 tờ khổ 230x230</t>
  </si>
  <si>
    <t xml:space="preserve">Khăn Napkin Shelton 1 lớp khổ 230x230 Bịch 0,5kg </t>
  </si>
  <si>
    <t>Máy Khăn Napkin( Model YCFB-240)</t>
  </si>
  <si>
    <t>Khăn Napkin Shelton 2 lớp khổ 240x240 Bịch 0,5kg</t>
  </si>
  <si>
    <t>Khăn Napkin Shelton 2 lớp khổ 240x240 Bịch 1 kg trơn</t>
  </si>
  <si>
    <t>Khăn Napkin Shelton 1 lớp  Lá xanh 100 tờ khổ 330x330</t>
  </si>
  <si>
    <t>Khăn rút đáy đa năng 4 lớp 320 tờ khổ 155x175mm</t>
  </si>
  <si>
    <t>Giấy vệ sinh Shelton rút đáy 4lớp 320 tờ khổ 155x175mm</t>
  </si>
  <si>
    <t>Khăn hộp (Máy YH- FG180-1500) (rút trên)</t>
  </si>
  <si>
    <t>Khăn Soft pack Shelton Hoa văn tròn 250 tờ 2 lớp khổ 175x175mm</t>
  </si>
  <si>
    <t>Khăn Soft pack Cân 3 lớp 200*175</t>
  </si>
  <si>
    <t>Khăn Soft pack Cân  2 lớp 115*175</t>
  </si>
  <si>
    <t>Hộp Shelton 120 tờ 2 lớp Lá xanh khổ 195*175</t>
  </si>
  <si>
    <t xml:space="preserve">Hộp Shelton 120 tờ 2 lớp trắng trơn khổ 195x175mm </t>
  </si>
  <si>
    <t>Khăn Soft pack 180 tờ 3 lớp 195*175</t>
  </si>
  <si>
    <t>Khăn lau đa năng 2 lớp 100 tờ khổ 205x175</t>
  </si>
  <si>
    <t>Khăn lau đa năng 2 lớp 120.130.150 tờ khổ 205x175</t>
  </si>
  <si>
    <t>Khăn Soft pack Shelton Hoa văn tròn 100 tờ 3 lớp khổ 115x175mm</t>
  </si>
  <si>
    <t>Khăn Soft pack Shelton Hoa văn tròn 100 tờ 4 lớp khổ 115x175mm</t>
  </si>
  <si>
    <t>Nguyên vật liệu</t>
  </si>
  <si>
    <t>Lõi 76</t>
  </si>
  <si>
    <t>Băng dính trắng 0,5kg</t>
  </si>
  <si>
    <t>Màng co PE (160c/1kg)</t>
  </si>
  <si>
    <t>Bao 5 cuộn CN (43c/kg)</t>
  </si>
  <si>
    <t>Tên sản phẩm</t>
  </si>
  <si>
    <t>Định mức (kg,cái /sku)</t>
  </si>
  <si>
    <r>
      <t xml:space="preserve">Túi Giấy Vệ Sinh 2 lớp 10 cuộn </t>
    </r>
    <r>
      <rPr>
        <i/>
        <sz val="14"/>
        <color theme="1"/>
        <rFont val="Times New Roman"/>
        <family val="1"/>
      </rPr>
      <t>(49c/kg)</t>
    </r>
  </si>
  <si>
    <t>Máy</t>
  </si>
  <si>
    <t>Thùng catton Khăn đa năng rút đáy 12 gói</t>
  </si>
  <si>
    <t xml:space="preserve">Vỏ hộp giấy ăn Shelton 120 vuông lá xanh </t>
  </si>
  <si>
    <t xml:space="preserve">Vỏ hộp Shelton Hồng Vàng 180 tờ </t>
  </si>
  <si>
    <t xml:space="preserve">Vỏ hộp Shelton Hoa Nhí Xanh 180 tờ </t>
  </si>
  <si>
    <t xml:space="preserve">Vỏ hộp Shelton Bướm bạc 180 tờ </t>
  </si>
  <si>
    <t>Khăn hộp Shelton Hồng Đỏ, hồng vàng, nhí xanh, bướm bạc 180 tờ 2 lớp</t>
  </si>
  <si>
    <t>Khăn hộp vuông Shelton Lá xanh 120 tờ 2 lớp</t>
  </si>
  <si>
    <t xml:space="preserve">Vỏ hộp giấy ăn Shelton 120 vuông trắng </t>
  </si>
  <si>
    <t>Tem khăn giấy 23*23</t>
  </si>
  <si>
    <t>Khăn NK 33 *33 cân bịch 1kg</t>
  </si>
  <si>
    <r>
      <t xml:space="preserve">Túi giấy vệ sinh Shera 2 lớp 12 cuộn có lõi </t>
    </r>
    <r>
      <rPr>
        <i/>
        <sz val="14"/>
        <color theme="1"/>
        <rFont val="Times New Roman"/>
        <family val="1"/>
      </rPr>
      <t>(50c/kg)</t>
    </r>
  </si>
  <si>
    <t>Giấy vệ sinh Shelton Hoa văn tròn dây 10 cuộn 3 lớp có lõi  (xanh ngọc)</t>
  </si>
  <si>
    <t>Máy khăn hộp (Máy KH 760)</t>
  </si>
  <si>
    <r>
      <t xml:space="preserve">Túi Nilong trắng đựng hộp 180 </t>
    </r>
    <r>
      <rPr>
        <i/>
        <sz val="14"/>
        <color theme="1"/>
        <rFont val="Times New Roman"/>
        <family val="1"/>
      </rPr>
      <t>(77c/kg)</t>
    </r>
  </si>
  <si>
    <r>
      <t xml:space="preserve">Thùng cattong khăn hộp 180 tờ </t>
    </r>
    <r>
      <rPr>
        <i/>
        <sz val="14"/>
        <color theme="1"/>
        <rFont val="Times New Roman"/>
        <family val="1"/>
      </rPr>
      <t>(60 hộp/thùng)</t>
    </r>
  </si>
  <si>
    <r>
      <t xml:space="preserve">Túi nilong trắng đựng hộp 120 vuông </t>
    </r>
    <r>
      <rPr>
        <i/>
        <sz val="14"/>
        <color theme="1"/>
        <rFont val="Times New Roman"/>
        <family val="1"/>
      </rPr>
      <t>(91c/kg)</t>
    </r>
  </si>
  <si>
    <r>
      <t xml:space="preserve">Màng cuộn SP 100 tờ 3 lớp </t>
    </r>
    <r>
      <rPr>
        <i/>
        <sz val="14"/>
        <color theme="1"/>
        <rFont val="Times New Roman"/>
        <family val="1"/>
      </rPr>
      <t>(395 túi/kg)</t>
    </r>
  </si>
  <si>
    <r>
      <t xml:space="preserve">Bao trắng sp 115*175 đựng 10 gói </t>
    </r>
    <r>
      <rPr>
        <i/>
        <sz val="14"/>
        <color theme="1"/>
        <rFont val="Times New Roman"/>
        <family val="1"/>
      </rPr>
      <t>(78c/kg)</t>
    </r>
  </si>
  <si>
    <r>
      <t xml:space="preserve">Thùng catton sp 3 lớp 115*175 </t>
    </r>
    <r>
      <rPr>
        <i/>
        <sz val="14"/>
        <color theme="1"/>
        <rFont val="Times New Roman"/>
        <family val="1"/>
      </rPr>
      <t>(100 gói/thùng)</t>
    </r>
  </si>
  <si>
    <r>
      <t>Màng cuộn SP 100 tờ 4 lớp</t>
    </r>
    <r>
      <rPr>
        <i/>
        <sz val="14"/>
        <color theme="1"/>
        <rFont val="Times New Roman"/>
        <family val="1"/>
      </rPr>
      <t xml:space="preserve"> (445 túi/kg)</t>
    </r>
  </si>
  <si>
    <r>
      <t xml:space="preserve">Màng cuộn SP 180 tờ 3 lớp </t>
    </r>
    <r>
      <rPr>
        <i/>
        <sz val="14"/>
        <color theme="1"/>
        <rFont val="Times New Roman"/>
        <family val="1"/>
      </rPr>
      <t>(220 gói/kg)</t>
    </r>
    <r>
      <rPr>
        <sz val="14"/>
        <color theme="1"/>
        <rFont val="Times New Roman"/>
        <family val="1"/>
      </rPr>
      <t xml:space="preserve"> </t>
    </r>
  </si>
  <si>
    <r>
      <t xml:space="preserve">Màng khăn lau đa năng 100 tờ </t>
    </r>
    <r>
      <rPr>
        <i/>
        <sz val="14"/>
        <color theme="1"/>
        <rFont val="Times New Roman"/>
        <family val="1"/>
      </rPr>
      <t>(232 gói/kg)</t>
    </r>
  </si>
  <si>
    <r>
      <t xml:space="preserve">Túi đa năng rút </t>
    </r>
    <r>
      <rPr>
        <i/>
        <sz val="14"/>
        <color theme="1"/>
        <rFont val="Times New Roman"/>
        <family val="1"/>
      </rPr>
      <t>(86c/kg)</t>
    </r>
  </si>
  <si>
    <r>
      <t xml:space="preserve">Túi vệ sinh rút đáy </t>
    </r>
    <r>
      <rPr>
        <i/>
        <sz val="14"/>
        <color theme="1"/>
        <rFont val="Times New Roman"/>
        <family val="1"/>
      </rPr>
      <t>(78c/kg)</t>
    </r>
  </si>
  <si>
    <r>
      <t xml:space="preserve">Thùng cattong khăn napkin 33*33 </t>
    </r>
    <r>
      <rPr>
        <i/>
        <sz val="14"/>
        <color theme="1"/>
        <rFont val="Times New Roman"/>
        <family val="1"/>
      </rPr>
      <t>(48c/kg)</t>
    </r>
  </si>
  <si>
    <r>
      <t xml:space="preserve">Túi nilong NK 33*33 lá xanh </t>
    </r>
    <r>
      <rPr>
        <i/>
        <sz val="14"/>
        <color theme="1"/>
        <rFont val="Times New Roman"/>
        <family val="1"/>
      </rPr>
      <t>(140c/kg)</t>
    </r>
  </si>
  <si>
    <r>
      <t xml:space="preserve">Bao trăng sp cân 2 lớp 115*115 </t>
    </r>
    <r>
      <rPr>
        <i/>
        <sz val="14"/>
        <color theme="1"/>
        <rFont val="Times New Roman"/>
        <family val="1"/>
      </rPr>
      <t>(90c/kg)</t>
    </r>
  </si>
  <si>
    <t xml:space="preserve">Khăn Napkin Shelton 2 lớp khổ 240x240 Bịch 0,9kg </t>
  </si>
  <si>
    <t>+ tiêu hao</t>
  </si>
  <si>
    <t>JP CN 320M/ 76 - TD</t>
  </si>
  <si>
    <t>Otakami GVS công nghiệp 320M (core 76)-TD</t>
  </si>
  <si>
    <t>JP CN 320M/80</t>
  </si>
  <si>
    <t>Otakami GVS công nghiệp 320 M (core 80)</t>
  </si>
  <si>
    <t>JP CN 320M/80 - KBG</t>
  </si>
  <si>
    <t>Otakami GVS công nghiệp 320 M (core 80)-KBG</t>
  </si>
  <si>
    <t>JP CN 320M/80 M-C</t>
  </si>
  <si>
    <t>JP CN 320M-86</t>
  </si>
  <si>
    <t>Otakami giấy vệ sinh công nghiệp 320M-86</t>
  </si>
  <si>
    <t>Mã sp</t>
  </si>
  <si>
    <t>Tên TP</t>
  </si>
  <si>
    <t>Tên NVL</t>
  </si>
  <si>
    <t>ĐM tiêu hao</t>
  </si>
  <si>
    <t>Lõi 80</t>
  </si>
  <si>
    <t>Otakami GVS công nghiệp 320/80 M-C</t>
  </si>
  <si>
    <t>Lõi 86</t>
  </si>
  <si>
    <t>Tem khăn giấy 24*24</t>
  </si>
  <si>
    <t>Định mức (kg,cái /túi)</t>
  </si>
  <si>
    <t>Khăn Napkin Shelton 2 lớp khổ 240x240 Bịch 1 kg trơn (Chạy trên máy 230x230)</t>
  </si>
  <si>
    <t>Phôi giấy AN HÒA K2850 DL15</t>
  </si>
  <si>
    <t>Phôi giấy XG K2770 DL 14</t>
  </si>
  <si>
    <t>Phôi giấy XG K2770 DL 17</t>
  </si>
  <si>
    <t>Phôi giấy XG K2850 DL 14</t>
  </si>
  <si>
    <t>Phôi giấy XG K2850 DL 15 1L</t>
  </si>
  <si>
    <t>Phôi giấy XG K2870 DL15 3L</t>
  </si>
  <si>
    <t>Phôi giấy AN HÒA K2850 DL 17.5</t>
  </si>
  <si>
    <t>Phôi giấy AN HÒA K2850 DL17 2L</t>
  </si>
  <si>
    <t>Phôi An Hòa K2850 DL17</t>
  </si>
  <si>
    <t>Phôi giấy XG K2850 DL 17</t>
  </si>
  <si>
    <t>Phôi giấy XG K2850 DL 17 1L</t>
  </si>
  <si>
    <t>Phôi giấy XG K2870 DL 18</t>
  </si>
  <si>
    <t>Phôi giấy XG K2870 DL 18,5</t>
  </si>
  <si>
    <t>Phôi giấy XG K2870 DL16,5</t>
  </si>
  <si>
    <t>Phôi giấy XG K2900 DL17</t>
  </si>
  <si>
    <t>Giấy vệ sinh  Shera 2 lớp 12 cuộn có lõi 70g (phôi An Hòa)</t>
  </si>
  <si>
    <t>Phôi giấy JPCORELEX DL 18</t>
  </si>
  <si>
    <t>Phôi giấy JPCORELEX DL 18,5</t>
  </si>
  <si>
    <t>Phôi giấy JPCORELEX DL 15</t>
  </si>
  <si>
    <t xml:space="preserve">Phôi giấy BN K1900 DL13 2L </t>
  </si>
  <si>
    <t>Phôi giấy HL K1980 DL13 4L</t>
  </si>
  <si>
    <t>Phôi giấy LA K1870 DL13 2L</t>
  </si>
  <si>
    <t>Phôi giấy XG K1420 DL13 3L</t>
  </si>
  <si>
    <t>Phôi giấy XG K1420 DL13 2L</t>
  </si>
  <si>
    <t xml:space="preserve">Phôi giấy XG K1420 DL15 2L </t>
  </si>
  <si>
    <t>Phôi giấy XG K1420 DL22 2L</t>
  </si>
  <si>
    <t>Phôi giấy INDO K760  DL13</t>
  </si>
  <si>
    <t>Phôi giấy XG K800 DL22</t>
  </si>
  <si>
    <t>Phôi giấy INDO K230 DL17</t>
  </si>
  <si>
    <t>Phôi giấy XG K240 DL17 2L</t>
  </si>
  <si>
    <t>Phôi giấy XG K330 DL19</t>
  </si>
  <si>
    <t>Bao vô cây 10 cuộn CN (22c/kg)</t>
  </si>
  <si>
    <t>Bao vô cây 20 cuộn CN (12c/kg)</t>
  </si>
  <si>
    <t>Túi giấy vệ sinh 3 lớp có lõi 10 cuộn xanh ngọc (48c/kg)</t>
  </si>
  <si>
    <t>Túi giấy vệ sinh 3 lớp có lõi 12 cuộn xanh ngọc (38c/kg)</t>
  </si>
  <si>
    <r>
      <t xml:space="preserve">Túi giấy vệ sinh 3 lớp không lõi 12 cuộn xanh dương không lõi </t>
    </r>
    <r>
      <rPr>
        <i/>
        <sz val="14"/>
        <color theme="1"/>
        <rFont val="Times New Roman"/>
        <family val="1"/>
      </rPr>
      <t>(37c/kg)</t>
    </r>
    <r>
      <rPr>
        <sz val="14"/>
        <color theme="1"/>
        <rFont val="Times New Roman"/>
        <family val="1"/>
      </rPr>
      <t xml:space="preserve"> </t>
    </r>
  </si>
  <si>
    <r>
      <t xml:space="preserve">Bao vô cây GVS 10 cuộn </t>
    </r>
    <r>
      <rPr>
        <i/>
        <sz val="14"/>
        <color theme="1"/>
        <rFont val="Times New Roman"/>
        <family val="1"/>
      </rPr>
      <t>(11c/kg)</t>
    </r>
  </si>
  <si>
    <r>
      <t xml:space="preserve">Bao vô cây GVS 12 cuộn </t>
    </r>
    <r>
      <rPr>
        <i/>
        <sz val="14"/>
        <color theme="1"/>
        <rFont val="Times New Roman"/>
        <family val="1"/>
      </rPr>
      <t>(9c/kg)</t>
    </r>
  </si>
  <si>
    <t>lõi 76 2880 AM</t>
  </si>
  <si>
    <t>lõi 76 2880 HT</t>
  </si>
  <si>
    <t>lõi 76 2930 HT</t>
  </si>
  <si>
    <t>lõi 76 2800 AM</t>
  </si>
  <si>
    <t>lõi 76 2870 ivory AM</t>
  </si>
  <si>
    <t>lõi 76 2940 AM</t>
  </si>
  <si>
    <t>Tem CN Shelton 3L</t>
  </si>
  <si>
    <t>Tem CN Shelton 2L</t>
  </si>
  <si>
    <t>Tem CN Shera 2 lớp</t>
  </si>
  <si>
    <t>Băng keo trắng</t>
  </si>
  <si>
    <t>lõi 46 2880 HT</t>
  </si>
  <si>
    <t>lõi 46 2930.HT</t>
  </si>
  <si>
    <t>lõi 46 2940 AM</t>
  </si>
  <si>
    <t>lõi 46 2880 AM</t>
  </si>
  <si>
    <t>lõi 40 2880 AM</t>
  </si>
  <si>
    <t>lõi 40 2940 AM</t>
  </si>
  <si>
    <t>Thùng catton GVS rút đáy 12 gói</t>
  </si>
  <si>
    <t>Thùng catton Khăn đa năng rút đáy 6 gói</t>
  </si>
  <si>
    <t>Thùng catton GVS rút đáy 6 gói</t>
  </si>
  <si>
    <t>MÓC TREO</t>
  </si>
  <si>
    <t>Thùng catton sp 4 lớp 115*175 (100g/thùng)</t>
  </si>
  <si>
    <t>Thùng catton sp 2 lớp 175*175 (60 gói/thùng)</t>
  </si>
  <si>
    <t>Thùng catton sp 2 lớp 175*175 (18 gói/thùng)</t>
  </si>
  <si>
    <t>12 gói/thùng</t>
  </si>
  <si>
    <t>Thùng cattong Napkin 23 cân</t>
  </si>
  <si>
    <t>12 bịch/thùng</t>
  </si>
  <si>
    <t xml:space="preserve">Vỏ hộp giấy ăn Shelton 80 vuông trắng </t>
  </si>
  <si>
    <t xml:space="preserve">Hộp Shelton 80 tờ 2 lớp trắng trơn khổ 195x175mm </t>
  </si>
  <si>
    <t>96 hop/thùng</t>
  </si>
  <si>
    <r>
      <t xml:space="preserve">Thùng cattong khăn lụa soft pack 250 tờ Indo </t>
    </r>
    <r>
      <rPr>
        <i/>
        <sz val="14"/>
        <color theme="1"/>
        <rFont val="Times New Roman"/>
        <family val="1"/>
      </rPr>
      <t>(50gói/thùng)</t>
    </r>
  </si>
  <si>
    <t>50goi/tui</t>
  </si>
  <si>
    <r>
      <t xml:space="preserve">Màng sp lá xanh 250 tờ </t>
    </r>
    <r>
      <rPr>
        <i/>
        <sz val="14"/>
        <color theme="1"/>
        <rFont val="Times New Roman"/>
        <family val="1"/>
      </rPr>
      <t>(174c/kg)</t>
    </r>
  </si>
  <si>
    <r>
      <t xml:space="preserve">Màng sp hoa văn tròn 250 tờ </t>
    </r>
    <r>
      <rPr>
        <i/>
        <sz val="14"/>
        <color theme="1"/>
        <rFont val="Times New Roman"/>
        <family val="1"/>
      </rPr>
      <t>(182c/kg)</t>
    </r>
  </si>
  <si>
    <r>
      <t xml:space="preserve">Bao trắng NK23 *23 cân </t>
    </r>
    <r>
      <rPr>
        <i/>
        <sz val="14"/>
        <color theme="1"/>
        <rFont val="Times New Roman"/>
        <family val="1"/>
      </rPr>
      <t>(78c/kg)</t>
    </r>
  </si>
  <si>
    <t>20 bịch/thùng</t>
  </si>
  <si>
    <t>20 goi/thung</t>
  </si>
  <si>
    <t>Phôi JP GC DL 15,5 2 L</t>
  </si>
  <si>
    <t>Phôi JP GC DL 18 2L (700g)</t>
  </si>
  <si>
    <t>Phôi JP GC DL 18 1L (700g)</t>
  </si>
  <si>
    <t xml:space="preserve">Bao trắng 600g/bb, 80 </t>
  </si>
  <si>
    <t>màng co GC</t>
  </si>
  <si>
    <t>Phôi JP GC DL 15 2L</t>
  </si>
  <si>
    <t>THÙNG OTAKMI320, 80</t>
  </si>
  <si>
    <t xml:space="preserve">Bao trắng 320 MC </t>
  </si>
  <si>
    <t>THÙNG OTAKAMI320, 76</t>
  </si>
  <si>
    <t>DVT</t>
  </si>
  <si>
    <t>Cuộn</t>
  </si>
  <si>
    <t>Dây</t>
  </si>
  <si>
    <t>Túi</t>
  </si>
  <si>
    <t>Thùng catton sp 3 lớp 115*175 (40 gói/thùng)</t>
  </si>
  <si>
    <t>Màng cuộn SP 250 tờ lớp (226 túi/kg)</t>
  </si>
  <si>
    <t>Bao trắng sp cân 3 lớp (78c/kg)</t>
  </si>
  <si>
    <t>Hộp</t>
  </si>
  <si>
    <t>Gói</t>
  </si>
  <si>
    <t>Bịch</t>
  </si>
  <si>
    <t>Khăn Soft pack Cân 2 lớp 115*175</t>
  </si>
  <si>
    <t>Thùng cattong khăn 120 tờ phôi indo</t>
  </si>
  <si>
    <t>Khăn Napkin Shelton 1 lớp  hoa văn tròn 100 tờ khổ 330x330</t>
  </si>
  <si>
    <r>
      <t xml:space="preserve">Túi nilong Napkin hoa văn tròn 33*33 </t>
    </r>
    <r>
      <rPr>
        <i/>
        <sz val="14"/>
        <color theme="1"/>
        <rFont val="Times New Roman"/>
        <family val="1"/>
      </rPr>
      <t>(145c/kg)</t>
    </r>
  </si>
  <si>
    <r>
      <t xml:space="preserve">Túi nilong Napkin hoa văn tròn 23*23 </t>
    </r>
    <r>
      <rPr>
        <i/>
        <sz val="14"/>
        <color theme="1"/>
        <rFont val="Times New Roman"/>
        <family val="1"/>
      </rPr>
      <t>(244c/kg)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</si>
</sst>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7" formatCode="_-* #,##0_-;\-* #,##0_-;_-* &quot;-&quot;_-;_-@_-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Times New Roman"/>
      <family val="1"/>
    </font>
    <font>
      <b/>
      <sz val="16"/>
      <color theme="1"/>
      <name val="Calibri Light"/>
      <family val="1"/>
      <scheme val="major"/>
    </font>
    <font>
      <sz val="16"/>
      <color theme="1"/>
      <name val="Calibri Light"/>
      <family val="1"/>
      <scheme val="major"/>
    </font>
    <font>
      <sz val="16"/>
      <color rgb="FFFF0000"/>
      <name val="Calibri Light"/>
      <family val="1"/>
      <scheme val="major"/>
    </font>
    <font>
      <sz val="16"/>
      <name val="Calibri Light"/>
      <family val="1"/>
      <scheme val="major"/>
    </font>
    <font>
      <b/>
      <sz val="16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4"/>
      <color rgb="FFFF0000"/>
      <name val="Calibri Light"/>
      <family val="1"/>
      <scheme val="major"/>
    </font>
    <font>
      <sz val="14"/>
      <name val="Calibri Light"/>
      <family val="1"/>
      <scheme val="major"/>
    </font>
    <font>
      <sz val="14"/>
      <color theme="1"/>
      <name val="Times New Roman"/>
      <family val="1"/>
    </font>
    <font>
      <b/>
      <sz val="14"/>
      <name val="Calibri Light"/>
      <family val="1"/>
      <scheme val="major"/>
    </font>
    <font>
      <i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rgb="FFFF0000"/>
      <name val="Times New Roman"/>
      <family val="1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6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0F3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21">
    <xf numFmtId="0" fontId="0" fillId="0" borderId="0" xfId="0"/>
    <xf numFmtId="0" fontId="5" fillId="0" borderId="1" xfId="0" applyFont="1" applyBorder="1" applyAlignment="1">
      <alignment horizontal="left" wrapText="1"/>
    </xf>
    <xf numFmtId="0" fontId="5" fillId="0" borderId="1" xfId="0" applyFont="1" applyBorder="1"/>
    <xf numFmtId="0" fontId="6" fillId="0" borderId="0" xfId="0" applyFont="1"/>
    <xf numFmtId="0" fontId="9" fillId="2" borderId="1" xfId="0" applyFont="1" applyFill="1" applyBorder="1"/>
    <xf numFmtId="0" fontId="11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4" fillId="4" borderId="1" xfId="0" applyFont="1" applyFill="1" applyBorder="1"/>
    <xf numFmtId="0" fontId="14" fillId="4" borderId="2" xfId="0" applyFont="1" applyFill="1" applyBorder="1"/>
    <xf numFmtId="0" fontId="15" fillId="2" borderId="1" xfId="0" applyFont="1" applyFill="1" applyBorder="1"/>
    <xf numFmtId="0" fontId="13" fillId="2" borderId="1" xfId="0" applyFont="1" applyFill="1" applyBorder="1" applyAlignment="1">
      <alignment horizontal="left" vertical="center" wrapText="1"/>
    </xf>
    <xf numFmtId="165" fontId="13" fillId="2" borderId="1" xfId="1" applyNumberFormat="1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wrapText="1"/>
    </xf>
    <xf numFmtId="0" fontId="10" fillId="0" borderId="3" xfId="0" applyFont="1" applyBorder="1" applyAlignment="1">
      <alignment horizontal="center" vertical="center"/>
    </xf>
    <xf numFmtId="0" fontId="12" fillId="2" borderId="6" xfId="0" applyFont="1" applyFill="1" applyBorder="1" applyAlignment="1">
      <alignment vertical="center" wrapText="1"/>
    </xf>
    <xf numFmtId="165" fontId="12" fillId="2" borderId="6" xfId="1" applyNumberFormat="1" applyFont="1" applyFill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horizontal="left" wrapText="1"/>
    </xf>
    <xf numFmtId="0" fontId="14" fillId="3" borderId="1" xfId="0" applyFont="1" applyFill="1" applyBorder="1"/>
    <xf numFmtId="0" fontId="14" fillId="2" borderId="1" xfId="0" applyFont="1" applyFill="1" applyBorder="1"/>
    <xf numFmtId="0" fontId="11" fillId="2" borderId="0" xfId="0" applyFont="1" applyFill="1"/>
    <xf numFmtId="0" fontId="12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vertical="center" wrapText="1"/>
    </xf>
    <xf numFmtId="0" fontId="11" fillId="0" borderId="1" xfId="1" applyNumberFormat="1" applyFont="1" applyBorder="1"/>
    <xf numFmtId="0" fontId="17" fillId="0" borderId="0" xfId="0" applyFont="1"/>
    <xf numFmtId="0" fontId="17" fillId="0" borderId="1" xfId="0" applyFont="1" applyBorder="1"/>
    <xf numFmtId="0" fontId="18" fillId="4" borderId="1" xfId="0" applyFont="1" applyFill="1" applyBorder="1"/>
    <xf numFmtId="0" fontId="10" fillId="2" borderId="1" xfId="0" applyFont="1" applyFill="1" applyBorder="1" applyAlignment="1">
      <alignment horizontal="left" wrapText="1"/>
    </xf>
    <xf numFmtId="0" fontId="14" fillId="2" borderId="1" xfId="0" applyFont="1" applyFill="1" applyBorder="1" applyAlignment="1">
      <alignment vertical="center" wrapText="1"/>
    </xf>
    <xf numFmtId="0" fontId="17" fillId="2" borderId="0" xfId="0" applyFont="1" applyFill="1"/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vertical="center"/>
    </xf>
    <xf numFmtId="0" fontId="18" fillId="3" borderId="1" xfId="0" applyFont="1" applyFill="1" applyBorder="1"/>
    <xf numFmtId="0" fontId="13" fillId="2" borderId="1" xfId="0" applyFont="1" applyFill="1" applyBorder="1"/>
    <xf numFmtId="0" fontId="19" fillId="0" borderId="0" xfId="0" applyFont="1"/>
    <xf numFmtId="164" fontId="11" fillId="0" borderId="0" xfId="0" applyNumberFormat="1" applyFont="1"/>
    <xf numFmtId="0" fontId="10" fillId="0" borderId="1" xfId="1" quotePrefix="1" applyNumberFormat="1" applyFont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164" fontId="10" fillId="0" borderId="1" xfId="1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0" fillId="0" borderId="1" xfId="0" applyBorder="1"/>
    <xf numFmtId="0" fontId="23" fillId="0" borderId="1" xfId="0" applyFont="1" applyBorder="1"/>
    <xf numFmtId="0" fontId="0" fillId="5" borderId="1" xfId="0" applyFill="1" applyBorder="1"/>
    <xf numFmtId="0" fontId="5" fillId="0" borderId="8" xfId="0" applyFont="1" applyBorder="1" applyAlignment="1">
      <alignment horizontal="center" vertical="center"/>
    </xf>
    <xf numFmtId="0" fontId="6" fillId="0" borderId="8" xfId="0" applyFont="1" applyBorder="1"/>
    <xf numFmtId="0" fontId="19" fillId="0" borderId="1" xfId="0" applyFont="1" applyBorder="1"/>
    <xf numFmtId="0" fontId="14" fillId="5" borderId="1" xfId="0" applyFont="1" applyFill="1" applyBorder="1"/>
    <xf numFmtId="0" fontId="0" fillId="5" borderId="1" xfId="0" applyFill="1" applyBorder="1" applyAlignment="1">
      <alignment horizontal="left" wrapText="1"/>
    </xf>
    <xf numFmtId="0" fontId="12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/>
    <xf numFmtId="0" fontId="17" fillId="5" borderId="1" xfId="0" applyFont="1" applyFill="1" applyBorder="1"/>
    <xf numFmtId="0" fontId="7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/>
    <xf numFmtId="0" fontId="8" fillId="5" borderId="1" xfId="0" applyFont="1" applyFill="1" applyBorder="1" applyAlignment="1">
      <alignment horizontal="left" vertical="center" wrapText="1"/>
    </xf>
    <xf numFmtId="0" fontId="25" fillId="5" borderId="1" xfId="0" applyFont="1" applyFill="1" applyBorder="1"/>
    <xf numFmtId="0" fontId="19" fillId="5" borderId="1" xfId="0" applyFont="1" applyFill="1" applyBorder="1"/>
    <xf numFmtId="0" fontId="6" fillId="5" borderId="1" xfId="0" applyFont="1" applyFill="1" applyBorder="1"/>
    <xf numFmtId="0" fontId="14" fillId="2" borderId="1" xfId="0" applyFont="1" applyFill="1" applyBorder="1" applyAlignment="1">
      <alignment wrapText="1"/>
    </xf>
    <xf numFmtId="165" fontId="12" fillId="5" borderId="1" xfId="1" applyNumberFormat="1" applyFont="1" applyFill="1" applyBorder="1" applyAlignment="1">
      <alignment horizontal="left" vertical="center" wrapText="1"/>
    </xf>
    <xf numFmtId="165" fontId="13" fillId="5" borderId="1" xfId="1" applyNumberFormat="1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wrapText="1"/>
    </xf>
    <xf numFmtId="0" fontId="0" fillId="2" borderId="1" xfId="0" applyFill="1" applyBorder="1"/>
    <xf numFmtId="165" fontId="13" fillId="5" borderId="4" xfId="1" applyNumberFormat="1" applyFont="1" applyFill="1" applyBorder="1" applyAlignment="1">
      <alignment vertical="center" wrapText="1"/>
    </xf>
    <xf numFmtId="0" fontId="11" fillId="5" borderId="0" xfId="0" applyFont="1" applyFill="1"/>
    <xf numFmtId="165" fontId="12" fillId="5" borderId="5" xfId="1" applyNumberFormat="1" applyFont="1" applyFill="1" applyBorder="1" applyAlignment="1">
      <alignment vertical="center" wrapText="1"/>
    </xf>
    <xf numFmtId="0" fontId="11" fillId="5" borderId="1" xfId="1" applyNumberFormat="1" applyFont="1" applyFill="1" applyBorder="1"/>
    <xf numFmtId="165" fontId="12" fillId="5" borderId="6" xfId="1" applyNumberFormat="1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left" wrapText="1"/>
    </xf>
    <xf numFmtId="0" fontId="12" fillId="5" borderId="5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165" fontId="12" fillId="5" borderId="4" xfId="1" applyNumberFormat="1" applyFont="1" applyFill="1" applyBorder="1" applyAlignment="1">
      <alignment vertical="center" wrapText="1"/>
    </xf>
    <xf numFmtId="0" fontId="13" fillId="5" borderId="5" xfId="0" applyFont="1" applyFill="1" applyBorder="1" applyAlignment="1">
      <alignment horizontal="left" wrapText="1"/>
    </xf>
    <xf numFmtId="0" fontId="14" fillId="5" borderId="5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1" fillId="0" borderId="0" xfId="1" applyNumberFormat="1" applyFont="1"/>
    <xf numFmtId="0" fontId="20" fillId="0" borderId="1" xfId="1" applyNumberFormat="1" applyFont="1" applyBorder="1"/>
    <xf numFmtId="0" fontId="21" fillId="0" borderId="7" xfId="1" applyNumberFormat="1" applyFont="1" applyBorder="1"/>
    <xf numFmtId="0" fontId="21" fillId="0" borderId="1" xfId="1" applyNumberFormat="1" applyFont="1" applyBorder="1"/>
    <xf numFmtId="0" fontId="22" fillId="0" borderId="1" xfId="1" applyNumberFormat="1" applyFont="1" applyBorder="1"/>
    <xf numFmtId="0" fontId="17" fillId="0" borderId="0" xfId="1" applyNumberFormat="1" applyFont="1"/>
    <xf numFmtId="0" fontId="17" fillId="0" borderId="1" xfId="1" applyNumberFormat="1" applyFont="1" applyBorder="1"/>
    <xf numFmtId="0" fontId="10" fillId="0" borderId="7" xfId="0" applyFont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0" fillId="6" borderId="9" xfId="0" applyFill="1" applyBorder="1"/>
    <xf numFmtId="0" fontId="0" fillId="0" borderId="9" xfId="0" applyBorder="1"/>
    <xf numFmtId="165" fontId="12" fillId="5" borderId="10" xfId="1" applyNumberFormat="1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165" fontId="12" fillId="5" borderId="11" xfId="1" applyNumberFormat="1" applyFont="1" applyFill="1" applyBorder="1" applyAlignment="1">
      <alignment vertical="center" wrapText="1"/>
    </xf>
    <xf numFmtId="0" fontId="12" fillId="5" borderId="10" xfId="0" applyFont="1" applyFill="1" applyBorder="1" applyAlignment="1">
      <alignment vertical="center" wrapText="1"/>
    </xf>
    <xf numFmtId="0" fontId="0" fillId="5" borderId="9" xfId="0" applyFill="1" applyBorder="1"/>
    <xf numFmtId="0" fontId="10" fillId="0" borderId="0" xfId="0" applyFont="1" applyAlignment="1">
      <alignment horizontal="center" wrapText="1"/>
    </xf>
    <xf numFmtId="0" fontId="15" fillId="2" borderId="8" xfId="0" applyFont="1" applyFill="1" applyBorder="1" applyAlignment="1">
      <alignment horizontal="left"/>
    </xf>
    <xf numFmtId="0" fontId="15" fillId="2" borderId="7" xfId="0" applyFont="1" applyFill="1" applyBorder="1" applyAlignment="1">
      <alignment horizontal="left"/>
    </xf>
    <xf numFmtId="0" fontId="0" fillId="0" borderId="0" xfId="0" applyBorder="1"/>
    <xf numFmtId="0" fontId="0" fillId="0" borderId="0" xfId="0"/>
    <xf numFmtId="0" fontId="0" fillId="0" borderId="1" xfId="0" applyBorder="1"/>
    <xf numFmtId="0" fontId="0" fillId="5" borderId="0" xfId="0" applyFill="1"/>
    <xf numFmtId="0" fontId="0" fillId="5" borderId="1" xfId="0" applyFill="1" applyBorder="1"/>
    <xf numFmtId="0" fontId="23" fillId="0" borderId="1" xfId="0" applyFont="1" applyBorder="1"/>
    <xf numFmtId="0" fontId="14" fillId="5" borderId="1" xfId="0" applyFont="1" applyFill="1" applyBorder="1"/>
    <xf numFmtId="0" fontId="14" fillId="5" borderId="1" xfId="0" applyFont="1" applyFill="1" applyBorder="1" applyAlignment="1">
      <alignment wrapText="1"/>
    </xf>
    <xf numFmtId="0" fontId="12" fillId="5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0" fillId="6" borderId="0" xfId="0" applyFill="1" applyBorder="1"/>
    <xf numFmtId="0" fontId="12" fillId="2" borderId="0" xfId="0" applyFont="1" applyFill="1" applyBorder="1" applyAlignment="1">
      <alignment horizontal="left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8" fillId="4" borderId="0" xfId="0" applyFont="1" applyFill="1" applyBorder="1"/>
    <xf numFmtId="0" fontId="15" fillId="2" borderId="12" xfId="0" applyFont="1" applyFill="1" applyBorder="1" applyAlignment="1">
      <alignment horizontal="left"/>
    </xf>
    <xf numFmtId="0" fontId="12" fillId="5" borderId="0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left" wrapText="1"/>
    </xf>
    <xf numFmtId="0" fontId="9" fillId="2" borderId="8" xfId="0" applyFont="1" applyFill="1" applyBorder="1"/>
    <xf numFmtId="0" fontId="0" fillId="5" borderId="0" xfId="0" applyFill="1" applyBorder="1" applyAlignment="1">
      <alignment horizontal="left" wrapText="1"/>
    </xf>
  </cellXfs>
  <cellStyles count="5">
    <cellStyle name="Comma" xfId="1" builtinId="3"/>
    <cellStyle name="Comma [0] 2" xfId="4" xr:uid="{5345B37E-7038-4D44-88B3-762988608D1D}"/>
    <cellStyle name="Comma 2" xfId="3" xr:uid="{7B938D44-D39D-41B1-8B5F-48CB8534F157}"/>
    <cellStyle name="Normal" xfId="0" builtinId="0"/>
    <cellStyle name="Normal 3" xfId="2" xr:uid="{57420A8F-9CCE-43BE-99C8-A28443D433E8}"/>
  </cellStyles>
  <dxfs count="2">
    <dxf>
      <fill>
        <patternFill>
          <bgColor theme="7"/>
        </patternFill>
      </fill>
    </dxf>
    <dxf>
      <fill>
        <patternFill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Lenh%20sx%20hang%20ngay\Thang%206\L&#7878;NH%20S&#7842;N%20XU&#7844;T%20G&#272;A%2016%2006%202025.xls" TargetMode="External"/><Relationship Id="rId1" Type="http://schemas.openxmlformats.org/officeDocument/2006/relationships/externalLinkPath" Target="file:///D:\Lenh%20sx%20hang%20ngay\Thang%206\L&#7878;NH%20S&#7842;N%20XU&#7844;T%20G&#272;A%2016%2006%202025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Production\myproject\TH&#7866;%20KHO%20NVL.25.xlsx" TargetMode="External"/><Relationship Id="rId1" Type="http://schemas.openxmlformats.org/officeDocument/2006/relationships/externalLinkPath" Target="TH&#7866;%20KHO%20NVL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SX 16.06.25"/>
      <sheetName val="LSX 24.04.25"/>
      <sheetName val="Sheet3"/>
      <sheetName val="Sheet1"/>
    </sheetNames>
    <sheetDataSet>
      <sheetData sheetId="0">
        <row r="52">
          <cell r="H52" t="str">
            <v>77c/kg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ảng tổng"/>
      <sheetName val="Hộp 120 Trắng"/>
      <sheetName val="Hộp 80 Trắng 10,10"/>
      <sheetName val="Hộp 120 Xanh"/>
      <sheetName val="Hộp bướm đen"/>
      <sheetName val="Hộp HV"/>
      <sheetName val="Hộp hồng đỏ"/>
      <sheetName val="Hộp bướm bạc"/>
      <sheetName val="Hộp NX"/>
      <sheetName val="Hộp oto"/>
      <sheetName val="Bao Trắng 180"/>
      <sheetName val="Bao vô cây CN "/>
      <sheetName val="Bao vô cây CN  10 cuộn"/>
      <sheetName val="Bao 5 cuộn CN"/>
      <sheetName val="Bao vô cây 12 cuộn"/>
      <sheetName val="Bao vô cây 10 cuộn"/>
      <sheetName val="Bao vô cây NK 24 TL"/>
      <sheetName val="Bao Trắng GVS 10 cuộn có lõi"/>
      <sheetName val="Bao Trắng 120"/>
      <sheetName val="Bao trăng 23 cân"/>
      <sheetName val="Bao trăng 33 cân "/>
      <sheetName val="Bao trăng sp cân.3 lơp"/>
      <sheetName val="Bao trăng sp cân.2 lơp "/>
      <sheetName val="Bao trăng sp 10 gói"/>
      <sheetName val="Bao trăng NK 33 600G"/>
      <sheetName val="Nilon NK Lá cây"/>
      <sheetName val="Túi nilong tròn 33"/>
      <sheetName val="Túi nilong tròn 23"/>
      <sheetName val="Túi GVS 2 lớp 10 cuộn Có lõi"/>
      <sheetName val="Túi GVS 10 cuộn 3 lớp Có lõi "/>
      <sheetName val="Túi GVS 12 cuộn 3 lớp Có lõi. "/>
      <sheetName val="Túi GVS 10 cuộn 3 lớp không lõi"/>
      <sheetName val="Túi GVS 12 cuộn 3 lớp không lõi"/>
      <sheetName val="Túi GVS có lõi Shera 12 cuộn"/>
      <sheetName val="Nilon NK cánh bướm"/>
      <sheetName val="Nilon SP Lá cây"/>
      <sheetName val="Nilon SP Tròn"/>
      <sheetName val="Màng bọc cuộn CN"/>
      <sheetName val="Màng bọc cuộn CN.mới"/>
      <sheetName val="Màng ĐN 100 tờ"/>
      <sheetName val="MÀNG SP 250 TỜ 2 LỚP M871"/>
      <sheetName val="MÀNG SP 100 TỜ 4 LỚP M857"/>
      <sheetName val="MÀNG SP 100 TỜ 3 LỚP M864"/>
      <sheetName val="MÀNG SP 180 TỜ 3 LỚP "/>
      <sheetName val="TÚI VỆ SINH RÚT ĐÁY"/>
      <sheetName val="TÚI RÚT ĐA NĂNG"/>
      <sheetName val="Thùng catton SP"/>
      <sheetName val="Thùng catton 120"/>
      <sheetName val="Thùng catton NK 23"/>
      <sheetName val="Thùng catton NK 23 cân"/>
      <sheetName val="Thùng catton NK 33"/>
      <sheetName val="Thùng catton 180"/>
      <sheetName val="Thùng catton VS RÚT ĐÁY"/>
      <sheetName val="Thùng catton VS RÚT ĐÁY 12g"/>
      <sheetName val="Thùng catton ĐA NĂNG RÚT ĐÁY"/>
      <sheetName val="Thùng catton ĐA NĂNG RÚT ĐÁY 12"/>
      <sheetName val="Thùng catton SP 175- 2 LƠP.60G "/>
      <sheetName val="Thùng catton SP 175 - 2 LƠP.18G"/>
      <sheetName val="Thùng catton SP 115 - 3 LỚP"/>
      <sheetName val="Thùng catton SP 115 - 4 LỚP"/>
      <sheetName val="Thùng catton SP 115 - 4 LỚP 100"/>
      <sheetName val="Thùng catton SP 115 - 3 LỚP100 "/>
      <sheetName val="Phôi NK 325"/>
      <sheetName val="Phôi NK 23"/>
      <sheetName val="Phôi giấy KH 760"/>
      <sheetName val="Phôi Nk 33,XG"/>
      <sheetName val="Phôi Nk 21,XG"/>
      <sheetName val="Phôi giấy XG .KH 2850 ĐL 17"/>
      <sheetName val="Phôi giấy XG .KH 2850 ĐL 17,1L"/>
      <sheetName val="Phôi giấy XG. KH 2850 DL 14"/>
      <sheetName val="Phôi giấy XG. KH 2850.DL 15.1L"/>
      <sheetName val="Phôi giấy XG. KH 2910 DL 15.gộp"/>
      <sheetName val="Phôi giấy XG. KH 2870 DL16,5"/>
      <sheetName val="Phôi giấy XG. KH 2900 DL17"/>
      <sheetName val="Phôi giấy XG. KH 2870 DL15.gộp "/>
      <sheetName val="Phôi giấy XG. KH 2870 DL15,3L"/>
      <sheetName val="Phôi giấy XG. KH 2870 DL 18,5"/>
      <sheetName val="Phôi giấy XG. KH 2870 DL 18"/>
      <sheetName val="Phôi giấy XG. KH 2770 DL 17"/>
      <sheetName val="Phôi giấy XG. KH 2770 DL 14"/>
      <sheetName val="Phôi giấy XGKH 1420 DL 13.2 LỚP"/>
      <sheetName val="Phôi giấy XGKH 1420 DL 15,2L "/>
      <sheetName val="Phôi giấy XGKH 1420 DL 22.2 LỚP"/>
      <sheetName val="Phôi giấy XGKH 1420 DL13, 3 LỚP"/>
      <sheetName val="Phôi giấy XGKH 240. DL17 2 LỚP"/>
      <sheetName val="Phôi giấy XGK800 . DL22"/>
      <sheetName val="Phôi giấy BNKH 240. DL17 2L"/>
      <sheetName val="Phôi giấy LAKH 1870 DL13, 2 LỚP"/>
      <sheetName val="Phôi giấy  BNKH 1900 DL13, 2L "/>
      <sheetName val="Phôi giấy  HLKH 1980 DL13, 4 ớp"/>
      <sheetName val="Phôi giấy JP DL12.5 3L K1400 "/>
      <sheetName val="Phôi giấy JP DL13 2L K1400  "/>
      <sheetName val="Phôi giấy  JPCORELEX DL 15"/>
      <sheetName val="Phôi giấy  JPCORELEX DL 18,5"/>
      <sheetName val="Phôi giấy  JPCORELEX DL 18"/>
      <sheetName val="Phôi giấy  AN HÒA.K2850.DL 17.5"/>
      <sheetName val="Phôi   AN HÒA.K2850.DL17,gộp"/>
      <sheetName val="Phôi giấy  AN HÒA.K2850.DL17 2L"/>
      <sheetName val="Phôi giấy  AN HÒA.K2850.DL15"/>
      <sheetName val="lõi 46 1950"/>
      <sheetName val="lõi 42 2795"/>
      <sheetName val="lõi 46 2880HT"/>
      <sheetName val="lõi 35 2880"/>
      <sheetName val="lõi 46 2940.A HOC"/>
      <sheetName val="lõi 35 2880.A HOC "/>
      <sheetName val="lõi 46. 2880.A HOC "/>
      <sheetName val="lõi 40. 2940.A HOC (gộp)"/>
      <sheetName val="lõi 40. 2940.A HOC.tách"/>
      <sheetName val="lõi 40. 2880.A HOC.tách"/>
      <sheetName val="lõi 76. 2940.A HOC  "/>
      <sheetName val="lõi 76. 2800.A HOC"/>
      <sheetName val="lõi 76. 2870.trắng"/>
      <sheetName val="lõi 76 2880 "/>
      <sheetName val="lõi 76 2880.HT"/>
      <sheetName val="lõi 76 2930.HT"/>
      <sheetName val="lõi 46 2930.HT"/>
      <sheetName val="Băng keo trắng"/>
      <sheetName val="Keo 3395FS"/>
      <sheetName val="Keo DÁN MÍ MG06"/>
      <sheetName val="Keo DÁN MÍ MG06 Đăc"/>
      <sheetName val="Keo DÁN MÍ MG125"/>
      <sheetName val="Dung môi máy phun date"/>
      <sheetName val="Tem NK 23."/>
      <sheetName val="Tem 24"/>
      <sheetName val="tem 24 1kg"/>
      <sheetName val="Tem GVS"/>
      <sheetName val="Tem dán bao vs 10 cuộn"/>
      <sheetName val="Tem Cuộn CN 2 lớp"/>
      <sheetName val="Tem Shera"/>
      <sheetName val="Tem sp cân 2 lớp"/>
      <sheetName val="Tem Cuộn CN 3 lớp "/>
      <sheetName val="Tem Cuộn CN 3 lớp  TL"/>
      <sheetName val="Tem  sp cân 3 lớp"/>
      <sheetName val="Tem nk cân 33"/>
      <sheetName val="Tem nk cân 33 TL"/>
      <sheetName val="Tem nk cân 24,600 TL "/>
      <sheetName val="Tem nk cân 24,300 TL "/>
      <sheetName val="MÓC TREO"/>
      <sheetName val="VT"/>
      <sheetName val="VT 2020"/>
      <sheetName val="Sheet1"/>
      <sheetName val="Sheet2"/>
      <sheetName val="Tong hop NVL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A2" t="str">
            <v>Băng keo trắng</v>
          </cell>
          <cell r="B2" t="str">
            <v>cuộn</v>
          </cell>
        </row>
        <row r="3">
          <cell r="A3" t="str">
            <v>Bao 5 cuộn CN (43c/kg)</v>
          </cell>
          <cell r="B3" t="str">
            <v>kg</v>
          </cell>
        </row>
        <row r="4">
          <cell r="A4" t="str">
            <v>Túi nilong trắng đựng hộp 120 vuông (91c/kg)</v>
          </cell>
          <cell r="B4" t="str">
            <v>kg</v>
          </cell>
        </row>
        <row r="5">
          <cell r="A5" t="str">
            <v>Túi Nilong trắng đựng hộp 180 (77c/kg)</v>
          </cell>
          <cell r="B5" t="str">
            <v>kg</v>
          </cell>
        </row>
        <row r="6">
          <cell r="A6" t="str">
            <v>Bao trắng NK23 *23 cân (78c/kg)</v>
          </cell>
          <cell r="B6" t="str">
            <v>kg</v>
          </cell>
        </row>
        <row r="7">
          <cell r="A7" t="str">
            <v xml:space="preserve">Bao trăng 33 cân </v>
          </cell>
          <cell r="B7" t="str">
            <v>kg</v>
          </cell>
        </row>
        <row r="8">
          <cell r="A8" t="str">
            <v>Bao Trắng GVS 10 cuộn có lõi</v>
          </cell>
          <cell r="B8" t="str">
            <v>kg</v>
          </cell>
        </row>
        <row r="9">
          <cell r="A9" t="str">
            <v>Bao trăng NK 33 600G</v>
          </cell>
          <cell r="B9" t="str">
            <v>kg</v>
          </cell>
        </row>
        <row r="10">
          <cell r="A10" t="str">
            <v>Bao trắng sp 115*175 đựng 10 gói (78c/kg)</v>
          </cell>
          <cell r="B10" t="str">
            <v>kg</v>
          </cell>
        </row>
        <row r="11">
          <cell r="A11" t="str">
            <v>Bao trắng sp cân 3 lớp (78c/kg)</v>
          </cell>
          <cell r="B11" t="str">
            <v>kg</v>
          </cell>
        </row>
        <row r="12">
          <cell r="A12" t="str">
            <v>Bao trăng sp cân 2 lớp 115*115 (90c/kg)</v>
          </cell>
          <cell r="B12" t="str">
            <v>kg</v>
          </cell>
        </row>
        <row r="13">
          <cell r="A13" t="str">
            <v>Bao vô cây GVS 10 cuộn (11c/kg)</v>
          </cell>
          <cell r="B13" t="str">
            <v>kg</v>
          </cell>
        </row>
        <row r="14">
          <cell r="A14" t="str">
            <v>Bao vô cây GVS 12 cuộn (9c/kg)</v>
          </cell>
          <cell r="B14" t="str">
            <v>kg</v>
          </cell>
        </row>
        <row r="15">
          <cell r="A15" t="str">
            <v>Bao vô cây 20 cuộn CN (12c/kg)</v>
          </cell>
          <cell r="B15" t="str">
            <v>kg</v>
          </cell>
        </row>
        <row r="16">
          <cell r="A16" t="str">
            <v>Bao vô cây 10 cuộn CN (22c/kg)</v>
          </cell>
          <cell r="B16" t="str">
            <v>kg</v>
          </cell>
        </row>
        <row r="17">
          <cell r="A17" t="str">
            <v>Bao vô cây NK 24 TL</v>
          </cell>
          <cell r="B17" t="str">
            <v>kg</v>
          </cell>
        </row>
        <row r="18">
          <cell r="A18" t="str">
            <v>Dung môi máy phun date</v>
          </cell>
          <cell r="B18" t="str">
            <v>Lọ</v>
          </cell>
        </row>
        <row r="19">
          <cell r="A19" t="str">
            <v xml:space="preserve">Vỏ hộp giấy ăn Shelton 120 vuông trắng </v>
          </cell>
          <cell r="B19" t="str">
            <v>cái</v>
          </cell>
        </row>
        <row r="20">
          <cell r="A20" t="str">
            <v xml:space="preserve">Vỏ hộp giấy ăn Shelton 120 vuông lá xanh </v>
          </cell>
          <cell r="B20" t="str">
            <v>cái</v>
          </cell>
        </row>
        <row r="21">
          <cell r="A21" t="str">
            <v xml:space="preserve">Vỏ hộp giấy ăn Shelton 80 vuông trắng </v>
          </cell>
          <cell r="B21" t="str">
            <v>cái</v>
          </cell>
        </row>
        <row r="22">
          <cell r="A22" t="str">
            <v xml:space="preserve">Vỏ hộp Shelton Bướm bạc 180 tờ </v>
          </cell>
          <cell r="B22" t="str">
            <v>cái</v>
          </cell>
        </row>
        <row r="23">
          <cell r="A23" t="str">
            <v>Hộp bướm đen</v>
          </cell>
          <cell r="B23" t="str">
            <v>cái</v>
          </cell>
        </row>
        <row r="24">
          <cell r="A24" t="str">
            <v>Hộp hồng đỏ</v>
          </cell>
          <cell r="B24" t="str">
            <v>Cái</v>
          </cell>
        </row>
        <row r="25">
          <cell r="A25" t="str">
            <v xml:space="preserve">Vỏ hộp Shelton Hồng Vàng 180 tờ </v>
          </cell>
          <cell r="B25" t="str">
            <v>Cái</v>
          </cell>
        </row>
        <row r="26">
          <cell r="A26" t="str">
            <v xml:space="preserve">Vỏ hộp Shelton Hoa Nhí Xanh 180 tờ </v>
          </cell>
          <cell r="B26" t="str">
            <v>Cái</v>
          </cell>
        </row>
        <row r="27">
          <cell r="A27" t="str">
            <v>Hộp oto</v>
          </cell>
          <cell r="B27" t="str">
            <v>Cái</v>
          </cell>
        </row>
        <row r="28">
          <cell r="A28" t="str">
            <v>Keo 3395FS</v>
          </cell>
          <cell r="B28" t="str">
            <v>Kg</v>
          </cell>
        </row>
        <row r="29">
          <cell r="A29" t="str">
            <v>Keo DÁN MÍ MG06</v>
          </cell>
          <cell r="B29" t="str">
            <v>Kg</v>
          </cell>
        </row>
        <row r="30">
          <cell r="A30" t="str">
            <v>Keo DÁN MÍ MG06 Đặc</v>
          </cell>
          <cell r="B30" t="str">
            <v>Kg</v>
          </cell>
        </row>
        <row r="31">
          <cell r="A31" t="str">
            <v>Keo DÁN MÍ MG125</v>
          </cell>
          <cell r="B31" t="str">
            <v>Kg</v>
          </cell>
        </row>
        <row r="32">
          <cell r="A32" t="str">
            <v>lõi 35 2880 AM</v>
          </cell>
          <cell r="B32" t="str">
            <v>Ống</v>
          </cell>
        </row>
        <row r="33">
          <cell r="A33" t="str">
            <v>lõi 40 2880 AM</v>
          </cell>
          <cell r="B33" t="str">
            <v>Ống</v>
          </cell>
        </row>
        <row r="34">
          <cell r="A34" t="str">
            <v>lõi 40 2940 AM</v>
          </cell>
          <cell r="B34" t="str">
            <v>Ống</v>
          </cell>
        </row>
        <row r="35">
          <cell r="A35" t="str">
            <v>lõi 42 2795 AM</v>
          </cell>
          <cell r="B35" t="str">
            <v>Ống</v>
          </cell>
        </row>
        <row r="36">
          <cell r="A36" t="str">
            <v>lõi 46 2880 HT</v>
          </cell>
          <cell r="B36" t="str">
            <v>Ống</v>
          </cell>
        </row>
        <row r="37">
          <cell r="A37" t="str">
            <v>lõi 46 2930.HT</v>
          </cell>
          <cell r="B37" t="str">
            <v>Ống</v>
          </cell>
        </row>
        <row r="38">
          <cell r="A38" t="str">
            <v>lõi 46 2940 AM</v>
          </cell>
          <cell r="B38" t="str">
            <v>Ống</v>
          </cell>
        </row>
        <row r="39">
          <cell r="A39" t="str">
            <v>lõi 46 2880 AM</v>
          </cell>
          <cell r="B39" t="str">
            <v>Ống</v>
          </cell>
        </row>
        <row r="40">
          <cell r="A40" t="str">
            <v>lõi 76 2880 AM</v>
          </cell>
          <cell r="B40" t="str">
            <v>Ống</v>
          </cell>
        </row>
        <row r="41">
          <cell r="A41" t="str">
            <v>lõi 76 2880 HT</v>
          </cell>
          <cell r="B41" t="str">
            <v>Ống</v>
          </cell>
        </row>
        <row r="42">
          <cell r="A42" t="str">
            <v>lõi 76 2930 HT</v>
          </cell>
          <cell r="B42" t="str">
            <v>Ống</v>
          </cell>
        </row>
        <row r="43">
          <cell r="A43" t="str">
            <v>lõi 76 2800 AM</v>
          </cell>
          <cell r="B43" t="str">
            <v>Ống</v>
          </cell>
        </row>
        <row r="44">
          <cell r="A44" t="str">
            <v>lõi 76 2870 ivory AM</v>
          </cell>
          <cell r="B44" t="str">
            <v>Ống</v>
          </cell>
        </row>
        <row r="45">
          <cell r="A45" t="str">
            <v>lõi 76 2940 AM</v>
          </cell>
          <cell r="B45" t="str">
            <v>Ống</v>
          </cell>
        </row>
        <row r="46">
          <cell r="A46" t="str">
            <v>Màng co PE (160c/1kg)</v>
          </cell>
          <cell r="B46" t="str">
            <v>kg</v>
          </cell>
        </row>
        <row r="47">
          <cell r="A47" t="str">
            <v>Màng khăn lau đa năng 100 tờ (232 gói/kg)</v>
          </cell>
          <cell r="B47" t="str">
            <v>kg</v>
          </cell>
        </row>
        <row r="48">
          <cell r="A48" t="str">
            <v>Màng cuộn SP 100 tờ 4 lớp (445 túi/kg)</v>
          </cell>
          <cell r="B48" t="str">
            <v>kg</v>
          </cell>
        </row>
        <row r="49">
          <cell r="A49" t="str">
            <v>Màng cuộn SP 100 tờ 3 lớp (395 túi/kg)</v>
          </cell>
          <cell r="B49" t="str">
            <v>kg</v>
          </cell>
        </row>
        <row r="50">
          <cell r="A50" t="str">
            <v xml:space="preserve">Màng cuộn SP 180 tờ 3 lớp (220 gói/kg) </v>
          </cell>
          <cell r="B50" t="str">
            <v>kg</v>
          </cell>
        </row>
        <row r="51">
          <cell r="A51" t="str">
            <v>Màng cuộn SP 250 tờ lớp (226 túi/kg)</v>
          </cell>
          <cell r="B51" t="str">
            <v>kg</v>
          </cell>
        </row>
        <row r="52">
          <cell r="A52" t="str">
            <v>MÓC TREO</v>
          </cell>
          <cell r="B52" t="str">
            <v>cái</v>
          </cell>
        </row>
        <row r="53">
          <cell r="A53" t="str">
            <v>Nilon NK cánh bướm</v>
          </cell>
          <cell r="B53" t="str">
            <v>Kg</v>
          </cell>
        </row>
        <row r="54">
          <cell r="A54" t="str">
            <v>Túi nilong NK 33*33 lá xanh (140c/kg)</v>
          </cell>
          <cell r="B54" t="str">
            <v>Kg</v>
          </cell>
        </row>
        <row r="55">
          <cell r="A55" t="str">
            <v>Màng sp lá xanh 250 tờ (174c/kg)</v>
          </cell>
          <cell r="B55" t="str">
            <v>kg</v>
          </cell>
        </row>
        <row r="56">
          <cell r="A56" t="str">
            <v>Màng sp hoa văn tròn 250 tờ (182c/kg)</v>
          </cell>
          <cell r="B56" t="str">
            <v>kg</v>
          </cell>
        </row>
        <row r="57">
          <cell r="A57" t="str">
            <v>Phôi An Hòa K2850 DL17</v>
          </cell>
          <cell r="B57" t="str">
            <v>kg</v>
          </cell>
        </row>
        <row r="58">
          <cell r="A58" t="str">
            <v>Phôi giấy AN HÒA K2850 DL 17.5</v>
          </cell>
          <cell r="B58" t="str">
            <v>kg</v>
          </cell>
        </row>
        <row r="59">
          <cell r="A59" t="str">
            <v>Phôi giấy AN HÒA K2850 DL15</v>
          </cell>
          <cell r="B59" t="str">
            <v>kg</v>
          </cell>
        </row>
        <row r="60">
          <cell r="A60" t="str">
            <v>Phôi giấy AN HÒA K2850 DL17 2L</v>
          </cell>
          <cell r="B60" t="str">
            <v>kg</v>
          </cell>
        </row>
        <row r="61">
          <cell r="A61" t="str">
            <v xml:space="preserve">Phôi giấy BN K1900 DL13 2L </v>
          </cell>
          <cell r="B61" t="str">
            <v>kg</v>
          </cell>
        </row>
        <row r="62">
          <cell r="A62" t="str">
            <v>Phôi giấy BN K240 DL17 2L</v>
          </cell>
          <cell r="B62" t="str">
            <v>kg</v>
          </cell>
        </row>
        <row r="63">
          <cell r="A63" t="str">
            <v>Phôi giấy HL K1980 DL13 4L</v>
          </cell>
          <cell r="B63" t="str">
            <v>kg</v>
          </cell>
        </row>
        <row r="64">
          <cell r="A64" t="str">
            <v xml:space="preserve">Phôi giấy JP DL12.5 3L K1400 </v>
          </cell>
          <cell r="B64" t="str">
            <v>kg</v>
          </cell>
        </row>
        <row r="65">
          <cell r="A65" t="str">
            <v xml:space="preserve">Phôi giấy JP DL13 2L K1400 </v>
          </cell>
          <cell r="B65" t="str">
            <v>kg</v>
          </cell>
        </row>
        <row r="66">
          <cell r="A66" t="str">
            <v>Phôi giấy JPCORELEX DL 15</v>
          </cell>
          <cell r="B66" t="str">
            <v>kg</v>
          </cell>
        </row>
        <row r="67">
          <cell r="A67" t="str">
            <v>Phôi giấy JPCORELEX DL 18</v>
          </cell>
          <cell r="B67" t="str">
            <v>kg</v>
          </cell>
        </row>
        <row r="68">
          <cell r="A68" t="str">
            <v>Phôi giấy JPCORELEX DL 18,5</v>
          </cell>
          <cell r="B68" t="str">
            <v>kg</v>
          </cell>
        </row>
        <row r="69">
          <cell r="A69" t="str">
            <v>Phôi giấy INDO K760  DL13</v>
          </cell>
          <cell r="B69" t="str">
            <v>kg</v>
          </cell>
        </row>
        <row r="70">
          <cell r="A70" t="str">
            <v>Phôi giấy LA K1870 DL13 2L</v>
          </cell>
          <cell r="B70" t="str">
            <v>kg</v>
          </cell>
        </row>
        <row r="71">
          <cell r="A71" t="str">
            <v>Phôi giấy XG K2850 DL 17</v>
          </cell>
          <cell r="B71" t="str">
            <v>kg</v>
          </cell>
        </row>
        <row r="72">
          <cell r="A72" t="str">
            <v>Phôi giấy XG K2850 DL 17 1L</v>
          </cell>
          <cell r="B72" t="str">
            <v>kg</v>
          </cell>
        </row>
        <row r="73">
          <cell r="A73" t="str">
            <v>Phôi giấy XG K2770 DL 14</v>
          </cell>
          <cell r="B73" t="str">
            <v>kg</v>
          </cell>
        </row>
        <row r="74">
          <cell r="A74" t="str">
            <v>Phôi giấy XG K2770 DL 17</v>
          </cell>
          <cell r="B74" t="str">
            <v>kg</v>
          </cell>
        </row>
        <row r="75">
          <cell r="A75" t="str">
            <v>Phôi giấy XG K2850 DL 14</v>
          </cell>
          <cell r="B75" t="str">
            <v>kg</v>
          </cell>
        </row>
        <row r="76">
          <cell r="A76" t="str">
            <v>Phôi giấy XG K2850 DL 15 1L</v>
          </cell>
          <cell r="B76" t="str">
            <v>kg</v>
          </cell>
        </row>
        <row r="77">
          <cell r="A77" t="str">
            <v>Phôi giấy XG K2870 DL 18</v>
          </cell>
          <cell r="B77" t="str">
            <v>kg</v>
          </cell>
        </row>
        <row r="78">
          <cell r="A78" t="str">
            <v>Phôi giấy XG K2870 DL 18,5</v>
          </cell>
          <cell r="B78" t="str">
            <v>kg</v>
          </cell>
        </row>
        <row r="79">
          <cell r="A79" t="str">
            <v>Phôi giấy XG K2870 DL15 3L</v>
          </cell>
          <cell r="B79" t="str">
            <v>kg</v>
          </cell>
        </row>
        <row r="80">
          <cell r="A80" t="str">
            <v>Phôi giấy XG K2870 DL16,5</v>
          </cell>
          <cell r="B80" t="str">
            <v>kg</v>
          </cell>
        </row>
        <row r="81">
          <cell r="A81" t="str">
            <v>Phôi giấy XG K2900 DL17</v>
          </cell>
          <cell r="B81" t="str">
            <v>kg</v>
          </cell>
        </row>
        <row r="82">
          <cell r="A82" t="str">
            <v>Phôi giấy XG K800 DL22</v>
          </cell>
          <cell r="B82" t="str">
            <v>kg</v>
          </cell>
        </row>
        <row r="83">
          <cell r="A83" t="str">
            <v>Phôi giấy XG K1420 DL13 2L</v>
          </cell>
          <cell r="B83" t="str">
            <v>kg</v>
          </cell>
        </row>
        <row r="84">
          <cell r="A84" t="str">
            <v xml:space="preserve">Phôi giấy XG K1420 DL15 2L </v>
          </cell>
          <cell r="B84" t="str">
            <v>kg</v>
          </cell>
        </row>
        <row r="85">
          <cell r="A85" t="str">
            <v>Phôi giấy XG K1420 DL22 2L</v>
          </cell>
          <cell r="B85" t="str">
            <v>kg</v>
          </cell>
        </row>
        <row r="86">
          <cell r="A86" t="str">
            <v>Phôi giấy XG K1420 DL13 3L</v>
          </cell>
          <cell r="B86" t="str">
            <v>kg</v>
          </cell>
        </row>
        <row r="87">
          <cell r="A87" t="str">
            <v>Phôi giấy XG K240 DL17 2L</v>
          </cell>
          <cell r="B87" t="str">
            <v>kg</v>
          </cell>
        </row>
        <row r="88">
          <cell r="A88" t="str">
            <v>Phôi giấy XG K210 DL17 2L</v>
          </cell>
          <cell r="B88" t="str">
            <v>kg</v>
          </cell>
        </row>
        <row r="89">
          <cell r="A89" t="str">
            <v>Phôi giấy INDO K230 DL17</v>
          </cell>
          <cell r="B89" t="str">
            <v>kg</v>
          </cell>
        </row>
        <row r="90">
          <cell r="A90" t="str">
            <v>Phôi giấy XG K330 DL19</v>
          </cell>
          <cell r="B90" t="str">
            <v>kg</v>
          </cell>
        </row>
        <row r="91">
          <cell r="A91" t="str">
            <v>Tem khăn giấy 24*24</v>
          </cell>
          <cell r="B91" t="str">
            <v>cái</v>
          </cell>
        </row>
        <row r="92">
          <cell r="A92" t="str">
            <v>tem 24 1kg</v>
          </cell>
          <cell r="B92" t="str">
            <v>cái</v>
          </cell>
        </row>
        <row r="93">
          <cell r="A93" t="str">
            <v>Tem CN Shelton 2L</v>
          </cell>
          <cell r="B93" t="str">
            <v>cái</v>
          </cell>
        </row>
        <row r="94">
          <cell r="A94" t="str">
            <v>Tem CN Shelton 3L</v>
          </cell>
          <cell r="B94" t="str">
            <v>cái</v>
          </cell>
        </row>
        <row r="95">
          <cell r="A95" t="str">
            <v>Tem Cuộn CN 2L TL</v>
          </cell>
          <cell r="B95" t="str">
            <v>cái</v>
          </cell>
        </row>
        <row r="96">
          <cell r="A96" t="str">
            <v>Tem dán bao vs 10 cuộn</v>
          </cell>
          <cell r="B96" t="str">
            <v>cái</v>
          </cell>
        </row>
        <row r="97">
          <cell r="A97" t="str">
            <v>Tem GVS</v>
          </cell>
          <cell r="B97" t="str">
            <v>cái</v>
          </cell>
        </row>
        <row r="98">
          <cell r="A98" t="str">
            <v>Tem khăn giấy 23*23</v>
          </cell>
          <cell r="B98" t="str">
            <v>cái</v>
          </cell>
        </row>
        <row r="99">
          <cell r="A99" t="str">
            <v xml:space="preserve">Tem nk cân 24,300 TL </v>
          </cell>
          <cell r="B99" t="str">
            <v>cái</v>
          </cell>
        </row>
        <row r="100">
          <cell r="A100" t="str">
            <v xml:space="preserve">Tem nk cân 24,600 TL </v>
          </cell>
          <cell r="B100" t="str">
            <v>cái</v>
          </cell>
        </row>
        <row r="101">
          <cell r="A101" t="str">
            <v>Tem nk cân 33</v>
          </cell>
          <cell r="B101" t="str">
            <v>cái</v>
          </cell>
        </row>
        <row r="102">
          <cell r="A102" t="str">
            <v>Tem nk cân 33 TL</v>
          </cell>
          <cell r="B102" t="str">
            <v>cái</v>
          </cell>
        </row>
        <row r="103">
          <cell r="A103" t="str">
            <v>Tem CN Shera 2 lớp</v>
          </cell>
          <cell r="B103" t="str">
            <v>cái</v>
          </cell>
        </row>
        <row r="104">
          <cell r="A104" t="str">
            <v>Tem sp cân 2L</v>
          </cell>
          <cell r="B104" t="str">
            <v>cái</v>
          </cell>
        </row>
        <row r="105">
          <cell r="A105" t="str">
            <v>Tem sp cân 3L</v>
          </cell>
          <cell r="B105" t="str">
            <v>cái</v>
          </cell>
        </row>
        <row r="106">
          <cell r="A106" t="str">
            <v>Thùng cattong khăn 120 tờ phôi indo</v>
          </cell>
          <cell r="B106" t="str">
            <v>cái</v>
          </cell>
        </row>
        <row r="107">
          <cell r="A107" t="str">
            <v>Thùng cattong khăn hộp 180 tờ (60 hộp/thùng)</v>
          </cell>
          <cell r="B107" t="str">
            <v>cái</v>
          </cell>
        </row>
        <row r="108">
          <cell r="A108" t="str">
            <v>Thùng catton Khăn đa năng rút đáy 6 gói</v>
          </cell>
          <cell r="B108" t="str">
            <v>cái</v>
          </cell>
        </row>
        <row r="109">
          <cell r="A109" t="str">
            <v>Thùng catton Khăn đa năng rút đáy 12 gói</v>
          </cell>
          <cell r="B109" t="str">
            <v>cái</v>
          </cell>
        </row>
        <row r="110">
          <cell r="A110" t="str">
            <v>Thùng cattong Napkin 23*23(60 gói/thùng)</v>
          </cell>
          <cell r="B110" t="str">
            <v>cái</v>
          </cell>
        </row>
        <row r="111">
          <cell r="A111" t="str">
            <v>Thùng cattong Napkin 23 cân</v>
          </cell>
          <cell r="B111" t="str">
            <v>cái</v>
          </cell>
        </row>
        <row r="112">
          <cell r="A112" t="str">
            <v>Thùng cattong khăn napkin 33*33 (48c/kg)</v>
          </cell>
          <cell r="B112" t="str">
            <v>Cái</v>
          </cell>
        </row>
        <row r="113">
          <cell r="A113" t="str">
            <v>Thùng cattong khăn lụa soft pack 250 tờ Indo (50gói/thùng)</v>
          </cell>
          <cell r="B113" t="str">
            <v>cái</v>
          </cell>
        </row>
        <row r="114">
          <cell r="A114" t="str">
            <v>Thùng catton sp 3 lớp 115*175 (40 gói/thùng)</v>
          </cell>
          <cell r="B114" t="str">
            <v>cái</v>
          </cell>
        </row>
        <row r="115">
          <cell r="A115" t="str">
            <v>Thùng catton sp 4 lớp 115*175 (40 gói/ thùng)</v>
          </cell>
          <cell r="B115" t="str">
            <v>cái</v>
          </cell>
        </row>
        <row r="116">
          <cell r="A116" t="str">
            <v>Thùng catton sp 4 lớp 115*175 (100g/thùng)</v>
          </cell>
          <cell r="B116" t="str">
            <v>cái</v>
          </cell>
        </row>
        <row r="117">
          <cell r="A117" t="str">
            <v>Thùng catton sp 3 lớp 115*175 (100 gói/thùng)</v>
          </cell>
          <cell r="B117" t="str">
            <v>cái</v>
          </cell>
        </row>
        <row r="118">
          <cell r="A118" t="str">
            <v>Thùng catton sp 2 lớp 175*175 (18 gói/thùng)</v>
          </cell>
          <cell r="B118" t="str">
            <v>cái</v>
          </cell>
        </row>
        <row r="119">
          <cell r="A119" t="str">
            <v>Thùng catton sp 2 lớp 175*175 (60 gói/thùng)</v>
          </cell>
          <cell r="B119" t="str">
            <v>cái</v>
          </cell>
        </row>
        <row r="120">
          <cell r="A120" t="str">
            <v>Thùng catton GVS rút đáy 6 gói</v>
          </cell>
          <cell r="B120" t="str">
            <v>cái</v>
          </cell>
        </row>
        <row r="121">
          <cell r="A121" t="str">
            <v>Thùng catton GVS rút đáy 12 gói</v>
          </cell>
          <cell r="B121" t="str">
            <v>cái</v>
          </cell>
        </row>
        <row r="122">
          <cell r="A122" t="str">
            <v>Túi giấy vệ sinh 3 lớp có lõi 10 cuộn xanh ngọc (48c/kg)</v>
          </cell>
          <cell r="B122" t="str">
            <v>kg</v>
          </cell>
        </row>
        <row r="123">
          <cell r="A123" t="str">
            <v>Túi giấy vệ sinh 3 lớp không lõi 10 cuộn xanh dương (47c/kg)</v>
          </cell>
          <cell r="B123" t="str">
            <v>kg</v>
          </cell>
        </row>
        <row r="124">
          <cell r="A124" t="str">
            <v>Túi giấy vệ sinh 3 lớp có lõi 12 cuộn xanh ngọc (38c/kg)</v>
          </cell>
          <cell r="B124" t="str">
            <v>kg</v>
          </cell>
        </row>
        <row r="125">
          <cell r="A125" t="str">
            <v xml:space="preserve">Túi giấy vệ sinh 3 lớp không lõi 12 cuộn xanh dương không lõi (37c/kg) </v>
          </cell>
          <cell r="B125" t="str">
            <v>kg</v>
          </cell>
        </row>
        <row r="126">
          <cell r="A126" t="str">
            <v>Túi Giấy Vệ Sinh 2 lớp 10 cuộn (49c/kg)</v>
          </cell>
          <cell r="B126" t="str">
            <v>kg</v>
          </cell>
        </row>
        <row r="127">
          <cell r="A127" t="str">
            <v>Túi giấy vệ sinh Shera 2 lớp 12 cuộn có lõi (50c/kg)</v>
          </cell>
          <cell r="B127" t="str">
            <v>kg</v>
          </cell>
        </row>
        <row r="128">
          <cell r="A128" t="str">
            <v>Túi nilong Napkin hoa văn tròn 23*23 (244c/kg)</v>
          </cell>
          <cell r="B128" t="str">
            <v>kg</v>
          </cell>
        </row>
        <row r="129">
          <cell r="A129" t="str">
            <v>Túi nilong Napkin hoa văn tròn 33*33 (145c/kg)</v>
          </cell>
          <cell r="B129" t="str">
            <v>kg</v>
          </cell>
        </row>
        <row r="130">
          <cell r="A130" t="str">
            <v>Túi đa năng rút (86c/kg)</v>
          </cell>
          <cell r="B130" t="str">
            <v>kg</v>
          </cell>
        </row>
        <row r="131">
          <cell r="A131" t="str">
            <v>Túi vệ sinh rút đáy (78c/kg)</v>
          </cell>
          <cell r="B131" t="str">
            <v>kg</v>
          </cell>
        </row>
      </sheetData>
      <sheetData sheetId="14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BB14-8A6B-4B32-8A26-F3F80A4E19E3}">
  <sheetPr codeName="Sheet1"/>
  <dimension ref="A1:L67"/>
  <sheetViews>
    <sheetView topLeftCell="A55" zoomScale="85" zoomScaleNormal="85" workbookViewId="0">
      <selection activeCell="D2" sqref="D2:F67"/>
    </sheetView>
  </sheetViews>
  <sheetFormatPr defaultColWidth="9" defaultRowHeight="61.5" customHeight="1" x14ac:dyDescent="0.3"/>
  <cols>
    <col min="1" max="1" width="9" style="5"/>
    <col min="2" max="2" width="65" style="5" customWidth="1"/>
    <col min="3" max="3" width="15.7109375" style="5" customWidth="1"/>
    <col min="4" max="5" width="46.85546875" style="5" customWidth="1"/>
    <col min="6" max="6" width="28.28515625" style="81" customWidth="1"/>
    <col min="7" max="16384" width="9" style="5"/>
  </cols>
  <sheetData>
    <row r="1" spans="1:6" ht="48.75" customHeight="1" x14ac:dyDescent="0.3">
      <c r="B1" s="88" t="e">
        <f>#REF!</f>
        <v>#REF!</v>
      </c>
      <c r="C1" s="88" t="s">
        <v>174</v>
      </c>
      <c r="D1" s="6" t="s">
        <v>34</v>
      </c>
      <c r="E1" s="6"/>
      <c r="F1" s="40" t="s">
        <v>71</v>
      </c>
    </row>
    <row r="2" spans="1:6" ht="33" customHeight="1" x14ac:dyDescent="0.3">
      <c r="A2" s="5">
        <v>1</v>
      </c>
      <c r="B2" s="72" t="s">
        <v>0</v>
      </c>
      <c r="C2" s="109" t="s">
        <v>175</v>
      </c>
      <c r="D2" s="92" t="s">
        <v>97</v>
      </c>
      <c r="E2" s="101" t="str">
        <f>VLOOKUP(D2,'[2]Tong hop NVL'!$A$2:$B$131,2,0)</f>
        <v>kg</v>
      </c>
      <c r="F2" s="82">
        <v>0.70244999999999991</v>
      </c>
    </row>
    <row r="3" spans="1:6" ht="33" customHeight="1" x14ac:dyDescent="0.3">
      <c r="B3" s="72" t="str">
        <f>B2</f>
        <v>GVS Shelton Công nghiệp 700g 2 lớp có màng bọc</v>
      </c>
      <c r="C3" s="109" t="s">
        <v>175</v>
      </c>
      <c r="D3" s="92" t="s">
        <v>98</v>
      </c>
      <c r="E3" s="101" t="str">
        <f>VLOOKUP(D3,'[2]Tong hop NVL'!$A$2:$B$131,2,0)</f>
        <v>kg</v>
      </c>
      <c r="F3" s="82">
        <v>0.70244999999999991</v>
      </c>
    </row>
    <row r="4" spans="1:6" ht="33" customHeight="1" x14ac:dyDescent="0.3">
      <c r="B4" s="72" t="str">
        <f t="shared" ref="B4:B17" si="0">B3</f>
        <v>GVS Shelton Công nghiệp 700g 2 lớp có màng bọc</v>
      </c>
      <c r="C4" s="109" t="s">
        <v>175</v>
      </c>
      <c r="D4" s="91" t="s">
        <v>99</v>
      </c>
      <c r="E4" s="101" t="str">
        <f>VLOOKUP(D4,'[2]Tong hop NVL'!$A$2:$B$131,2,0)</f>
        <v>kg</v>
      </c>
      <c r="F4" s="82">
        <v>0.70244999999999991</v>
      </c>
    </row>
    <row r="5" spans="1:6" ht="33" customHeight="1" x14ac:dyDescent="0.3">
      <c r="B5" s="72" t="str">
        <f t="shared" si="0"/>
        <v>GVS Shelton Công nghiệp 700g 2 lớp có màng bọc</v>
      </c>
      <c r="C5" s="109" t="s">
        <v>175</v>
      </c>
      <c r="D5" s="91" t="s">
        <v>100</v>
      </c>
      <c r="E5" s="101" t="str">
        <f>VLOOKUP(D5,'[2]Tong hop NVL'!$A$2:$B$131,2,0)</f>
        <v>kg</v>
      </c>
      <c r="F5" s="82">
        <v>0.70244999999999991</v>
      </c>
    </row>
    <row r="6" spans="1:6" ht="33" customHeight="1" x14ac:dyDescent="0.3">
      <c r="B6" s="72" t="str">
        <f t="shared" si="0"/>
        <v>GVS Shelton Công nghiệp 700g 2 lớp có màng bọc</v>
      </c>
      <c r="C6" s="109" t="s">
        <v>175</v>
      </c>
      <c r="D6" s="92" t="s">
        <v>101</v>
      </c>
      <c r="E6" s="101" t="str">
        <f>VLOOKUP(D6,'[2]Tong hop NVL'!$A$2:$B$131,2,0)</f>
        <v>kg</v>
      </c>
      <c r="F6" s="82">
        <v>0.70244999999999991</v>
      </c>
    </row>
    <row r="7" spans="1:6" ht="33" customHeight="1" x14ac:dyDescent="0.3">
      <c r="B7" s="72" t="str">
        <f t="shared" si="0"/>
        <v>GVS Shelton Công nghiệp 700g 2 lớp có màng bọc</v>
      </c>
      <c r="C7" s="109" t="s">
        <v>175</v>
      </c>
      <c r="D7" s="92" t="s">
        <v>93</v>
      </c>
      <c r="E7" s="101" t="str">
        <f>VLOOKUP(D7,'[2]Tong hop NVL'!$A$2:$B$131,2,0)</f>
        <v>kg</v>
      </c>
      <c r="F7" s="82">
        <v>0.70244999999999991</v>
      </c>
    </row>
    <row r="8" spans="1:6" ht="33" customHeight="1" x14ac:dyDescent="0.3">
      <c r="B8" s="72" t="str">
        <f t="shared" si="0"/>
        <v>GVS Shelton Công nghiệp 700g 2 lớp có màng bọc</v>
      </c>
      <c r="C8" s="109" t="s">
        <v>175</v>
      </c>
      <c r="D8" s="91" t="s">
        <v>102</v>
      </c>
      <c r="E8" s="101" t="str">
        <f>VLOOKUP(D8,'[2]Tong hop NVL'!$A$2:$B$131,2,0)</f>
        <v>kg</v>
      </c>
      <c r="F8" s="82">
        <v>0.70244999999999991</v>
      </c>
    </row>
    <row r="9" spans="1:6" ht="33" customHeight="1" x14ac:dyDescent="0.3">
      <c r="B9" s="72" t="str">
        <f t="shared" si="0"/>
        <v>GVS Shelton Công nghiệp 700g 2 lớp có màng bọc</v>
      </c>
      <c r="C9" s="109" t="s">
        <v>175</v>
      </c>
      <c r="D9" s="92" t="s">
        <v>103</v>
      </c>
      <c r="E9" s="101" t="str">
        <f>VLOOKUP(D9,'[2]Tong hop NVL'!$A$2:$B$131,2,0)</f>
        <v>kg</v>
      </c>
      <c r="F9" s="82">
        <v>0.70244999999999991</v>
      </c>
    </row>
    <row r="10" spans="1:6" ht="33" customHeight="1" x14ac:dyDescent="0.3">
      <c r="B10" s="72" t="str">
        <f t="shared" si="0"/>
        <v>GVS Shelton Công nghiệp 700g 2 lớp có màng bọc</v>
      </c>
      <c r="C10" s="109" t="s">
        <v>175</v>
      </c>
      <c r="D10" s="92" t="s">
        <v>104</v>
      </c>
      <c r="E10" s="101" t="str">
        <f>VLOOKUP(D10,'[2]Tong hop NVL'!$A$2:$B$131,2,0)</f>
        <v>kg</v>
      </c>
      <c r="F10" s="82">
        <v>0.70244999999999991</v>
      </c>
    </row>
    <row r="11" spans="1:6" ht="33" customHeight="1" x14ac:dyDescent="0.3">
      <c r="B11" s="72" t="str">
        <f t="shared" si="0"/>
        <v>GVS Shelton Công nghiệp 700g 2 lớp có màng bọc</v>
      </c>
      <c r="C11" s="109" t="s">
        <v>175</v>
      </c>
      <c r="D11" s="91" t="s">
        <v>105</v>
      </c>
      <c r="E11" s="101" t="str">
        <f>VLOOKUP(D11,'[2]Tong hop NVL'!$A$2:$B$131,2,0)</f>
        <v>kg</v>
      </c>
      <c r="F11" s="82">
        <v>0.70244999999999991</v>
      </c>
    </row>
    <row r="12" spans="1:6" ht="33" customHeight="1" x14ac:dyDescent="0.3">
      <c r="B12" s="72" t="str">
        <f t="shared" si="0"/>
        <v>GVS Shelton Công nghiệp 700g 2 lớp có màng bọc</v>
      </c>
      <c r="C12" s="109" t="s">
        <v>175</v>
      </c>
      <c r="D12" s="92" t="s">
        <v>129</v>
      </c>
      <c r="E12" s="101" t="str">
        <f>VLOOKUP(D12,'[2]Tong hop NVL'!$A$2:$B$131,2,0)</f>
        <v>Ống</v>
      </c>
      <c r="F12" s="26">
        <v>3.193E-2</v>
      </c>
    </row>
    <row r="13" spans="1:6" ht="33" customHeight="1" x14ac:dyDescent="0.3">
      <c r="B13" s="72" t="str">
        <f t="shared" si="0"/>
        <v>GVS Shelton Công nghiệp 700g 2 lớp có màng bọc</v>
      </c>
      <c r="C13" s="109" t="s">
        <v>175</v>
      </c>
      <c r="D13" s="91" t="s">
        <v>130</v>
      </c>
      <c r="E13" s="101" t="str">
        <f>VLOOKUP(D13,'[2]Tong hop NVL'!$A$2:$B$131,2,0)</f>
        <v>Ống</v>
      </c>
      <c r="F13" s="26">
        <v>3.193E-2</v>
      </c>
    </row>
    <row r="14" spans="1:6" ht="33" customHeight="1" x14ac:dyDescent="0.3">
      <c r="B14" s="72" t="str">
        <f t="shared" si="0"/>
        <v>GVS Shelton Công nghiệp 700g 2 lớp có màng bọc</v>
      </c>
      <c r="C14" s="109" t="s">
        <v>175</v>
      </c>
      <c r="D14" s="92" t="s">
        <v>131</v>
      </c>
      <c r="E14" s="101" t="str">
        <f>VLOOKUP(D14,'[2]Tong hop NVL'!$A$2:$B$131,2,0)</f>
        <v>Ống</v>
      </c>
      <c r="F14" s="26">
        <v>3.193E-2</v>
      </c>
    </row>
    <row r="15" spans="1:6" ht="33" customHeight="1" x14ac:dyDescent="0.3">
      <c r="B15" s="72" t="str">
        <f t="shared" si="0"/>
        <v>GVS Shelton Công nghiệp 700g 2 lớp có màng bọc</v>
      </c>
      <c r="C15" s="109" t="s">
        <v>175</v>
      </c>
      <c r="D15" s="91" t="s">
        <v>132</v>
      </c>
      <c r="E15" s="101" t="str">
        <f>VLOOKUP(D15,'[2]Tong hop NVL'!$A$2:$B$131,2,0)</f>
        <v>Ống</v>
      </c>
      <c r="F15" s="26">
        <v>3.193E-2</v>
      </c>
    </row>
    <row r="16" spans="1:6" ht="33" customHeight="1" x14ac:dyDescent="0.3">
      <c r="B16" s="72" t="str">
        <f t="shared" si="0"/>
        <v>GVS Shelton Công nghiệp 700g 2 lớp có màng bọc</v>
      </c>
      <c r="C16" s="109" t="s">
        <v>175</v>
      </c>
      <c r="D16" s="92" t="s">
        <v>133</v>
      </c>
      <c r="E16" s="101" t="str">
        <f>VLOOKUP(D16,'[2]Tong hop NVL'!$A$2:$B$131,2,0)</f>
        <v>Ống</v>
      </c>
      <c r="F16" s="26">
        <v>3.193E-2</v>
      </c>
    </row>
    <row r="17" spans="1:12" ht="33" customHeight="1" x14ac:dyDescent="0.3">
      <c r="B17" s="72" t="str">
        <f t="shared" si="0"/>
        <v>GVS Shelton Công nghiệp 700g 2 lớp có màng bọc</v>
      </c>
      <c r="C17" s="109" t="s">
        <v>175</v>
      </c>
      <c r="D17" s="91" t="s">
        <v>134</v>
      </c>
      <c r="E17" s="101" t="str">
        <f>VLOOKUP(D17,'[2]Tong hop NVL'!$A$2:$B$131,2,0)</f>
        <v>Ống</v>
      </c>
      <c r="F17" s="26">
        <v>3.193E-2</v>
      </c>
    </row>
    <row r="18" spans="1:12" ht="33" customHeight="1" x14ac:dyDescent="0.3">
      <c r="A18" s="5">
        <v>2</v>
      </c>
      <c r="B18" s="75" t="s">
        <v>0</v>
      </c>
      <c r="C18" s="109" t="s">
        <v>175</v>
      </c>
      <c r="D18" s="78" t="s">
        <v>37</v>
      </c>
      <c r="E18" s="101" t="str">
        <f>VLOOKUP(D18,'[2]Tong hop NVL'!$A$2:$B$131,2,0)</f>
        <v>kg</v>
      </c>
      <c r="F18" s="26">
        <v>6.4375000000000005E-3</v>
      </c>
    </row>
    <row r="19" spans="1:12" ht="33" customHeight="1" x14ac:dyDescent="0.3">
      <c r="B19" s="75" t="s">
        <v>0</v>
      </c>
      <c r="C19" s="109" t="s">
        <v>175</v>
      </c>
      <c r="D19" s="79" t="s">
        <v>38</v>
      </c>
      <c r="E19" s="101" t="str">
        <f>VLOOKUP(D19,'[2]Tong hop NVL'!$A$2:$B$131,2,0)</f>
        <v>kg</v>
      </c>
      <c r="F19" s="26">
        <v>4.738E-3</v>
      </c>
    </row>
    <row r="20" spans="1:12" ht="33" customHeight="1" x14ac:dyDescent="0.3">
      <c r="B20" s="75" t="s">
        <v>0</v>
      </c>
      <c r="C20" s="109" t="s">
        <v>175</v>
      </c>
      <c r="D20" s="79" t="s">
        <v>123</v>
      </c>
      <c r="E20" s="101" t="str">
        <f>VLOOKUP(D20,'[2]Tong hop NVL'!$A$2:$B$131,2,0)</f>
        <v>kg</v>
      </c>
      <c r="F20" s="26">
        <v>4.2916666666666667E-3</v>
      </c>
    </row>
    <row r="21" spans="1:12" ht="33" customHeight="1" x14ac:dyDescent="0.3">
      <c r="B21" s="75" t="str">
        <f>B20</f>
        <v>GVS Shelton Công nghiệp 700g 2 lớp có màng bọc</v>
      </c>
      <c r="C21" s="109" t="s">
        <v>175</v>
      </c>
      <c r="D21" s="51" t="s">
        <v>122</v>
      </c>
      <c r="E21" s="101" t="str">
        <f>VLOOKUP(D21,'[2]Tong hop NVL'!$A$2:$B$131,2,0)</f>
        <v>kg</v>
      </c>
      <c r="F21" s="26">
        <v>4.681818181818182E-3</v>
      </c>
    </row>
    <row r="22" spans="1:12" ht="33" customHeight="1" x14ac:dyDescent="0.3">
      <c r="B22" s="75" t="s">
        <v>0</v>
      </c>
      <c r="C22" s="109" t="s">
        <v>175</v>
      </c>
      <c r="D22" s="74" t="s">
        <v>136</v>
      </c>
      <c r="E22" s="101" t="str">
        <f>VLOOKUP(D22,'[2]Tong hop NVL'!$A$2:$B$131,2,0)</f>
        <v>cái</v>
      </c>
      <c r="F22" s="26">
        <v>1.03</v>
      </c>
    </row>
    <row r="23" spans="1:12" ht="33" customHeight="1" x14ac:dyDescent="0.3">
      <c r="B23" s="16" t="s">
        <v>0</v>
      </c>
      <c r="C23" s="109" t="s">
        <v>175</v>
      </c>
      <c r="D23" s="91" t="s">
        <v>138</v>
      </c>
      <c r="E23" s="101" t="str">
        <f>VLOOKUP(D23,'[2]Tong hop NVL'!$A$2:$B$131,2,0)</f>
        <v>cuộn</v>
      </c>
      <c r="F23" s="26">
        <v>4.8270846800258562E-4</v>
      </c>
      <c r="H23" s="5" t="e">
        <f>+#REF!/J23</f>
        <v>#REF!</v>
      </c>
      <c r="J23" s="5">
        <v>18564</v>
      </c>
      <c r="K23" s="5">
        <f>+J23/174</f>
        <v>106.68965517241379</v>
      </c>
      <c r="L23" s="5">
        <f>+K23*20</f>
        <v>2133.7931034482758</v>
      </c>
    </row>
    <row r="24" spans="1:12" ht="33" customHeight="1" x14ac:dyDescent="0.3">
      <c r="A24" s="5">
        <v>3</v>
      </c>
      <c r="B24" s="68" t="s">
        <v>1</v>
      </c>
      <c r="C24" s="109" t="s">
        <v>175</v>
      </c>
      <c r="D24" s="91" t="s">
        <v>91</v>
      </c>
      <c r="E24" s="101" t="str">
        <f>VLOOKUP(D24,'[2]Tong hop NVL'!$A$2:$B$131,2,0)</f>
        <v>kg</v>
      </c>
      <c r="F24" s="82">
        <v>0.70244999999999991</v>
      </c>
    </row>
    <row r="25" spans="1:12" ht="33" customHeight="1" x14ac:dyDescent="0.3">
      <c r="B25" s="68" t="str">
        <f t="shared" ref="B25:B31" si="1">B24</f>
        <v>GVS Shelton Công nghiệp 700g 3 lớp có màng bọc</v>
      </c>
      <c r="C25" s="109" t="s">
        <v>175</v>
      </c>
      <c r="D25" s="91" t="s">
        <v>92</v>
      </c>
      <c r="E25" s="101" t="str">
        <f>VLOOKUP(D25,'[2]Tong hop NVL'!$A$2:$B$131,2,0)</f>
        <v>kg</v>
      </c>
      <c r="F25" s="82">
        <v>0.70244999999999991</v>
      </c>
    </row>
    <row r="26" spans="1:12" ht="33" customHeight="1" x14ac:dyDescent="0.3">
      <c r="B26" s="68" t="str">
        <f t="shared" si="1"/>
        <v>GVS Shelton Công nghiệp 700g 3 lớp có màng bọc</v>
      </c>
      <c r="C26" s="109" t="s">
        <v>175</v>
      </c>
      <c r="D26" s="91" t="s">
        <v>94</v>
      </c>
      <c r="E26" s="101" t="str">
        <f>VLOOKUP(D26,'[2]Tong hop NVL'!$A$2:$B$131,2,0)</f>
        <v>kg</v>
      </c>
      <c r="F26" s="82">
        <v>0.70244999999999991</v>
      </c>
    </row>
    <row r="27" spans="1:12" ht="33" customHeight="1" x14ac:dyDescent="0.3">
      <c r="B27" s="68" t="str">
        <f t="shared" si="1"/>
        <v>GVS Shelton Công nghiệp 700g 3 lớp có màng bọc</v>
      </c>
      <c r="C27" s="109" t="s">
        <v>175</v>
      </c>
      <c r="D27" s="92" t="s">
        <v>95</v>
      </c>
      <c r="E27" s="101" t="str">
        <f>VLOOKUP(D27,'[2]Tong hop NVL'!$A$2:$B$131,2,0)</f>
        <v>kg</v>
      </c>
      <c r="F27" s="82">
        <v>0.70244999999999991</v>
      </c>
    </row>
    <row r="28" spans="1:12" ht="33" customHeight="1" x14ac:dyDescent="0.3">
      <c r="B28" s="68" t="str">
        <f t="shared" si="1"/>
        <v>GVS Shelton Công nghiệp 700g 3 lớp có màng bọc</v>
      </c>
      <c r="C28" s="109" t="s">
        <v>175</v>
      </c>
      <c r="D28" s="91" t="s">
        <v>96</v>
      </c>
      <c r="E28" s="101" t="str">
        <f>VLOOKUP(D28,'[2]Tong hop NVL'!$A$2:$B$131,2,0)</f>
        <v>kg</v>
      </c>
      <c r="F28" s="82">
        <v>0.70244999999999991</v>
      </c>
    </row>
    <row r="29" spans="1:12" ht="33" customHeight="1" x14ac:dyDescent="0.3">
      <c r="B29" s="68" t="str">
        <f t="shared" si="1"/>
        <v>GVS Shelton Công nghiệp 700g 3 lớp có màng bọc</v>
      </c>
      <c r="C29" s="109" t="s">
        <v>175</v>
      </c>
      <c r="D29" s="92" t="s">
        <v>129</v>
      </c>
      <c r="E29" s="101" t="str">
        <f>VLOOKUP(D29,'[2]Tong hop NVL'!$A$2:$B$131,2,0)</f>
        <v>Ống</v>
      </c>
      <c r="F29" s="82">
        <v>3.193E-2</v>
      </c>
    </row>
    <row r="30" spans="1:12" ht="33" customHeight="1" x14ac:dyDescent="0.3">
      <c r="B30" s="68" t="str">
        <f t="shared" si="1"/>
        <v>GVS Shelton Công nghiệp 700g 3 lớp có màng bọc</v>
      </c>
      <c r="C30" s="109" t="s">
        <v>175</v>
      </c>
      <c r="D30" s="91" t="s">
        <v>130</v>
      </c>
      <c r="E30" s="101" t="str">
        <f>VLOOKUP(D30,'[2]Tong hop NVL'!$A$2:$B$131,2,0)</f>
        <v>Ống</v>
      </c>
      <c r="F30" s="82">
        <v>3.193E-2</v>
      </c>
    </row>
    <row r="31" spans="1:12" ht="33" customHeight="1" x14ac:dyDescent="0.3">
      <c r="B31" s="68" t="str">
        <f t="shared" si="1"/>
        <v>GVS Shelton Công nghiệp 700g 3 lớp có màng bọc</v>
      </c>
      <c r="C31" s="109" t="s">
        <v>175</v>
      </c>
      <c r="D31" s="92" t="s">
        <v>131</v>
      </c>
      <c r="E31" s="101" t="str">
        <f>VLOOKUP(D31,'[2]Tong hop NVL'!$A$2:$B$131,2,0)</f>
        <v>Ống</v>
      </c>
      <c r="F31" s="82">
        <v>3.193E-2</v>
      </c>
    </row>
    <row r="32" spans="1:12" ht="33" customHeight="1" x14ac:dyDescent="0.3">
      <c r="B32" s="73" t="s">
        <v>1</v>
      </c>
      <c r="C32" s="109" t="s">
        <v>175</v>
      </c>
      <c r="D32" s="91" t="s">
        <v>132</v>
      </c>
      <c r="E32" s="101" t="str">
        <f>VLOOKUP(D32,'[2]Tong hop NVL'!$A$2:$B$131,2,0)</f>
        <v>Ống</v>
      </c>
      <c r="F32" s="26">
        <v>3.193E-2</v>
      </c>
    </row>
    <row r="33" spans="1:6" ht="33" customHeight="1" x14ac:dyDescent="0.3">
      <c r="B33" s="96" t="str">
        <f t="shared" ref="B33:B34" si="2">B32</f>
        <v>GVS Shelton Công nghiệp 700g 3 lớp có màng bọc</v>
      </c>
      <c r="C33" s="109" t="s">
        <v>175</v>
      </c>
      <c r="D33" s="92" t="s">
        <v>133</v>
      </c>
      <c r="E33" s="101" t="str">
        <f>VLOOKUP(D33,'[2]Tong hop NVL'!$A$2:$B$131,2,0)</f>
        <v>Ống</v>
      </c>
      <c r="F33" s="26">
        <v>3.193E-2</v>
      </c>
    </row>
    <row r="34" spans="1:6" ht="33" customHeight="1" x14ac:dyDescent="0.3">
      <c r="B34" s="96" t="str">
        <f t="shared" si="2"/>
        <v>GVS Shelton Công nghiệp 700g 3 lớp có màng bọc</v>
      </c>
      <c r="C34" s="109" t="s">
        <v>175</v>
      </c>
      <c r="D34" s="91" t="s">
        <v>134</v>
      </c>
      <c r="E34" s="101" t="str">
        <f>VLOOKUP(D34,'[2]Tong hop NVL'!$A$2:$B$131,2,0)</f>
        <v>Ống</v>
      </c>
      <c r="F34" s="26">
        <v>3.193E-2</v>
      </c>
    </row>
    <row r="35" spans="1:6" ht="33" customHeight="1" x14ac:dyDescent="0.3">
      <c r="B35" s="75" t="s">
        <v>1</v>
      </c>
      <c r="C35" s="109" t="s">
        <v>175</v>
      </c>
      <c r="D35" s="74" t="s">
        <v>37</v>
      </c>
      <c r="E35" s="101" t="str">
        <f>VLOOKUP(D35,'[2]Tong hop NVL'!$A$2:$B$131,2,0)</f>
        <v>kg</v>
      </c>
      <c r="F35" s="26">
        <v>6.4375000000000005E-3</v>
      </c>
    </row>
    <row r="36" spans="1:6" ht="33" customHeight="1" x14ac:dyDescent="0.3">
      <c r="B36" s="75" t="s">
        <v>1</v>
      </c>
      <c r="C36" s="109" t="s">
        <v>175</v>
      </c>
      <c r="D36" s="76" t="s">
        <v>38</v>
      </c>
      <c r="E36" s="101" t="str">
        <f>VLOOKUP(D36,'[2]Tong hop NVL'!$A$2:$B$131,2,0)</f>
        <v>kg</v>
      </c>
      <c r="F36" s="26">
        <v>4.7906976744186043E-3</v>
      </c>
    </row>
    <row r="37" spans="1:6" ht="33" customHeight="1" x14ac:dyDescent="0.3">
      <c r="B37" s="75" t="s">
        <v>1</v>
      </c>
      <c r="C37" s="109" t="s">
        <v>175</v>
      </c>
      <c r="D37" s="79" t="s">
        <v>123</v>
      </c>
      <c r="E37" s="101" t="str">
        <f>VLOOKUP(D37,'[2]Tong hop NVL'!$A$2:$B$131,2,0)</f>
        <v>kg</v>
      </c>
      <c r="F37" s="26">
        <v>4.291666666666665E-3</v>
      </c>
    </row>
    <row r="38" spans="1:6" ht="33" customHeight="1" x14ac:dyDescent="0.3">
      <c r="B38" s="75" t="str">
        <f>B37</f>
        <v>GVS Shelton Công nghiệp 700g 3 lớp có màng bọc</v>
      </c>
      <c r="C38" s="109" t="s">
        <v>175</v>
      </c>
      <c r="D38" s="51" t="s">
        <v>122</v>
      </c>
      <c r="E38" s="101" t="str">
        <f>VLOOKUP(D38,'[2]Tong hop NVL'!$A$2:$B$131,2,0)</f>
        <v>kg</v>
      </c>
      <c r="F38" s="26">
        <v>4.681818181818182E-3</v>
      </c>
    </row>
    <row r="39" spans="1:6" ht="33" customHeight="1" x14ac:dyDescent="0.3">
      <c r="B39" s="75" t="s">
        <v>1</v>
      </c>
      <c r="C39" s="109" t="s">
        <v>175</v>
      </c>
      <c r="D39" s="74" t="s">
        <v>135</v>
      </c>
      <c r="E39" s="101" t="str">
        <f>VLOOKUP(D39,'[2]Tong hop NVL'!$A$2:$B$131,2,0)</f>
        <v>cái</v>
      </c>
      <c r="F39" s="26">
        <v>1.03</v>
      </c>
    </row>
    <row r="40" spans="1:6" ht="33" customHeight="1" x14ac:dyDescent="0.3">
      <c r="B40" s="16" t="s">
        <v>1</v>
      </c>
      <c r="C40" s="109" t="s">
        <v>175</v>
      </c>
      <c r="D40" s="91" t="s">
        <v>138</v>
      </c>
      <c r="E40" s="101" t="str">
        <f>VLOOKUP(D40,'[2]Tong hop NVL'!$A$2:$B$131,2,0)</f>
        <v>cuộn</v>
      </c>
      <c r="F40" s="26">
        <v>4.8270846800258562E-4</v>
      </c>
    </row>
    <row r="41" spans="1:6" ht="33" customHeight="1" x14ac:dyDescent="0.3">
      <c r="A41" s="5">
        <v>4</v>
      </c>
      <c r="B41" s="77" t="s">
        <v>2</v>
      </c>
      <c r="C41" s="109" t="s">
        <v>175</v>
      </c>
      <c r="D41" s="91" t="s">
        <v>107</v>
      </c>
      <c r="E41" s="101" t="str">
        <f>VLOOKUP(D41,'[2]Tong hop NVL'!$A$2:$B$131,2,0)</f>
        <v>kg</v>
      </c>
      <c r="F41" s="26">
        <v>0.70244999999999991</v>
      </c>
    </row>
    <row r="42" spans="1:6" ht="33" customHeight="1" x14ac:dyDescent="0.3">
      <c r="B42" s="93" t="str">
        <f t="shared" ref="B42:B49" si="3">B41</f>
        <v>Giấy vệ sinh  Shera công nghiệp tái chế 2 lớp 700g</v>
      </c>
      <c r="C42" s="109" t="s">
        <v>175</v>
      </c>
      <c r="D42" s="92" t="s">
        <v>108</v>
      </c>
      <c r="E42" s="101" t="str">
        <f>VLOOKUP(D42,'[2]Tong hop NVL'!$A$2:$B$131,2,0)</f>
        <v>kg</v>
      </c>
      <c r="F42" s="26">
        <v>0.70244999999999991</v>
      </c>
    </row>
    <row r="43" spans="1:6" ht="33" customHeight="1" x14ac:dyDescent="0.3">
      <c r="B43" s="93" t="str">
        <f t="shared" si="3"/>
        <v>Giấy vệ sinh  Shera công nghiệp tái chế 2 lớp 700g</v>
      </c>
      <c r="C43" s="109" t="s">
        <v>175</v>
      </c>
      <c r="D43" s="92" t="s">
        <v>129</v>
      </c>
      <c r="E43" s="101" t="str">
        <f>VLOOKUP(D43,'[2]Tong hop NVL'!$A$2:$B$131,2,0)</f>
        <v>Ống</v>
      </c>
      <c r="F43" s="26">
        <v>3.193E-2</v>
      </c>
    </row>
    <row r="44" spans="1:6" ht="33" customHeight="1" x14ac:dyDescent="0.3">
      <c r="B44" s="93" t="str">
        <f t="shared" si="3"/>
        <v>Giấy vệ sinh  Shera công nghiệp tái chế 2 lớp 700g</v>
      </c>
      <c r="C44" s="109" t="s">
        <v>175</v>
      </c>
      <c r="D44" s="91" t="s">
        <v>130</v>
      </c>
      <c r="E44" s="101" t="str">
        <f>VLOOKUP(D44,'[2]Tong hop NVL'!$A$2:$B$131,2,0)</f>
        <v>Ống</v>
      </c>
      <c r="F44" s="26">
        <v>3.193E-2</v>
      </c>
    </row>
    <row r="45" spans="1:6" ht="33" customHeight="1" x14ac:dyDescent="0.3">
      <c r="B45" s="93" t="str">
        <f t="shared" si="3"/>
        <v>Giấy vệ sinh  Shera công nghiệp tái chế 2 lớp 700g</v>
      </c>
      <c r="C45" s="109" t="s">
        <v>175</v>
      </c>
      <c r="D45" s="92" t="s">
        <v>131</v>
      </c>
      <c r="E45" s="101" t="str">
        <f>VLOOKUP(D45,'[2]Tong hop NVL'!$A$2:$B$131,2,0)</f>
        <v>Ống</v>
      </c>
      <c r="F45" s="26">
        <v>3.193E-2</v>
      </c>
    </row>
    <row r="46" spans="1:6" ht="33" customHeight="1" x14ac:dyDescent="0.3">
      <c r="B46" s="93" t="str">
        <f t="shared" si="3"/>
        <v>Giấy vệ sinh  Shera công nghiệp tái chế 2 lớp 700g</v>
      </c>
      <c r="C46" s="109" t="s">
        <v>175</v>
      </c>
      <c r="D46" s="91" t="s">
        <v>132</v>
      </c>
      <c r="E46" s="101" t="str">
        <f>VLOOKUP(D46,'[2]Tong hop NVL'!$A$2:$B$131,2,0)</f>
        <v>Ống</v>
      </c>
      <c r="F46" s="26">
        <v>3.193E-2</v>
      </c>
    </row>
    <row r="47" spans="1:6" ht="33" customHeight="1" x14ac:dyDescent="0.3">
      <c r="B47" s="93" t="str">
        <f t="shared" si="3"/>
        <v>Giấy vệ sinh  Shera công nghiệp tái chế 2 lớp 700g</v>
      </c>
      <c r="C47" s="109" t="s">
        <v>175</v>
      </c>
      <c r="D47" s="92" t="s">
        <v>133</v>
      </c>
      <c r="E47" s="101" t="str">
        <f>VLOOKUP(D47,'[2]Tong hop NVL'!$A$2:$B$131,2,0)</f>
        <v>Ống</v>
      </c>
      <c r="F47" s="26">
        <v>3.193E-2</v>
      </c>
    </row>
    <row r="48" spans="1:6" ht="33" customHeight="1" x14ac:dyDescent="0.3">
      <c r="B48" s="93" t="str">
        <f t="shared" si="3"/>
        <v>Giấy vệ sinh  Shera công nghiệp tái chế 2 lớp 700g</v>
      </c>
      <c r="C48" s="109" t="s">
        <v>175</v>
      </c>
      <c r="D48" s="91" t="s">
        <v>134</v>
      </c>
      <c r="E48" s="101" t="str">
        <f>VLOOKUP(D48,'[2]Tong hop NVL'!$A$2:$B$131,2,0)</f>
        <v>Ống</v>
      </c>
      <c r="F48" s="26">
        <v>3.193E-2</v>
      </c>
    </row>
    <row r="49" spans="1:6" ht="33" customHeight="1" x14ac:dyDescent="0.3">
      <c r="B49" s="93" t="str">
        <f t="shared" si="3"/>
        <v>Giấy vệ sinh  Shera công nghiệp tái chế 2 lớp 700g</v>
      </c>
      <c r="C49" s="109" t="s">
        <v>175</v>
      </c>
      <c r="D49" s="78" t="s">
        <v>37</v>
      </c>
      <c r="E49" s="101" t="str">
        <f>VLOOKUP(D49,'[2]Tong hop NVL'!$A$2:$B$131,2,0)</f>
        <v>kg</v>
      </c>
      <c r="F49" s="26">
        <v>6.4375000000000005E-3</v>
      </c>
    </row>
    <row r="50" spans="1:6" ht="33" customHeight="1" x14ac:dyDescent="0.3">
      <c r="B50" s="69" t="s">
        <v>2</v>
      </c>
      <c r="C50" s="109" t="s">
        <v>175</v>
      </c>
      <c r="D50" s="79" t="s">
        <v>123</v>
      </c>
      <c r="E50" s="101" t="str">
        <f>VLOOKUP(D50,'[2]Tong hop NVL'!$A$2:$B$131,2,0)</f>
        <v>kg</v>
      </c>
      <c r="F50" s="26">
        <v>8.5833333333333331E-2</v>
      </c>
    </row>
    <row r="51" spans="1:6" ht="33" customHeight="1" x14ac:dyDescent="0.3">
      <c r="B51" s="69" t="s">
        <v>2</v>
      </c>
      <c r="C51" s="109" t="s">
        <v>175</v>
      </c>
      <c r="D51" s="51" t="s">
        <v>38</v>
      </c>
      <c r="E51" s="101" t="str">
        <f>VLOOKUP(D51,'[2]Tong hop NVL'!$A$2:$B$131,2,0)</f>
        <v>kg</v>
      </c>
      <c r="F51" s="26">
        <v>4.7906976744186043E-3</v>
      </c>
    </row>
    <row r="52" spans="1:6" ht="33" customHeight="1" x14ac:dyDescent="0.3">
      <c r="B52" s="69" t="str">
        <f>B51</f>
        <v>Giấy vệ sinh  Shera công nghiệp tái chế 2 lớp 700g</v>
      </c>
      <c r="C52" s="109" t="s">
        <v>175</v>
      </c>
      <c r="D52" s="51" t="s">
        <v>122</v>
      </c>
      <c r="E52" s="101" t="str">
        <f>VLOOKUP(D52,'[2]Tong hop NVL'!$A$2:$B$131,2,0)</f>
        <v>kg</v>
      </c>
      <c r="F52" s="26">
        <v>4.681818181818182E-3</v>
      </c>
    </row>
    <row r="53" spans="1:6" ht="33" customHeight="1" x14ac:dyDescent="0.3">
      <c r="B53" s="69" t="s">
        <v>2</v>
      </c>
      <c r="C53" s="109" t="s">
        <v>175</v>
      </c>
      <c r="D53" s="51" t="s">
        <v>137</v>
      </c>
      <c r="E53" s="101" t="str">
        <f>VLOOKUP(D53,'[2]Tong hop NVL'!$A$2:$B$131,2,0)</f>
        <v>cái</v>
      </c>
      <c r="F53" s="26">
        <v>1.03</v>
      </c>
    </row>
    <row r="54" spans="1:6" ht="33" customHeight="1" x14ac:dyDescent="0.3">
      <c r="B54" s="17" t="s">
        <v>2</v>
      </c>
      <c r="C54" s="109" t="s">
        <v>175</v>
      </c>
      <c r="D54" s="91" t="s">
        <v>138</v>
      </c>
      <c r="E54" s="101" t="str">
        <f>VLOOKUP(D54,'[2]Tong hop NVL'!$A$2:$B$131,2,0)</f>
        <v>cuộn</v>
      </c>
      <c r="F54" s="26">
        <v>4.8270846800258562E-4</v>
      </c>
    </row>
    <row r="55" spans="1:6" ht="33" customHeight="1" x14ac:dyDescent="0.3">
      <c r="A55" s="5">
        <v>5</v>
      </c>
      <c r="B55" s="68" t="s">
        <v>3</v>
      </c>
      <c r="C55" s="109" t="s">
        <v>175</v>
      </c>
      <c r="D55" s="92" t="s">
        <v>109</v>
      </c>
      <c r="E55" s="101" t="str">
        <f>VLOOKUP(D55,'[2]Tong hop NVL'!$A$2:$B$131,2,0)</f>
        <v>kg</v>
      </c>
      <c r="F55" s="70">
        <v>0.59744999999999993</v>
      </c>
    </row>
    <row r="56" spans="1:6" ht="33" customHeight="1" x14ac:dyDescent="0.3">
      <c r="B56" s="68" t="str">
        <f t="shared" ref="B56:B63" si="4">B55</f>
        <v>Giấy vệ sinh  Shera công nghiệp tái chế  3 lớp 600g</v>
      </c>
      <c r="C56" s="109" t="s">
        <v>175</v>
      </c>
      <c r="D56" s="92" t="s">
        <v>129</v>
      </c>
      <c r="E56" s="101" t="str">
        <f>VLOOKUP(D56,'[2]Tong hop NVL'!$A$2:$B$131,2,0)</f>
        <v>Ống</v>
      </c>
      <c r="F56" s="70">
        <v>3.193E-2</v>
      </c>
    </row>
    <row r="57" spans="1:6" ht="33" customHeight="1" x14ac:dyDescent="0.3">
      <c r="B57" s="68" t="str">
        <f t="shared" si="4"/>
        <v>Giấy vệ sinh  Shera công nghiệp tái chế  3 lớp 600g</v>
      </c>
      <c r="C57" s="109" t="s">
        <v>175</v>
      </c>
      <c r="D57" s="91" t="s">
        <v>130</v>
      </c>
      <c r="E57" s="101" t="str">
        <f>VLOOKUP(D57,'[2]Tong hop NVL'!$A$2:$B$131,2,0)</f>
        <v>Ống</v>
      </c>
      <c r="F57" s="70">
        <v>3.193E-2</v>
      </c>
    </row>
    <row r="58" spans="1:6" ht="33" customHeight="1" x14ac:dyDescent="0.3">
      <c r="B58" s="68" t="str">
        <f t="shared" si="4"/>
        <v>Giấy vệ sinh  Shera công nghiệp tái chế  3 lớp 600g</v>
      </c>
      <c r="C58" s="109" t="s">
        <v>175</v>
      </c>
      <c r="D58" s="92" t="s">
        <v>131</v>
      </c>
      <c r="E58" s="101" t="str">
        <f>VLOOKUP(D58,'[2]Tong hop NVL'!$A$2:$B$131,2,0)</f>
        <v>Ống</v>
      </c>
      <c r="F58" s="70">
        <v>3.193E-2</v>
      </c>
    </row>
    <row r="59" spans="1:6" ht="33" customHeight="1" x14ac:dyDescent="0.3">
      <c r="B59" s="68" t="str">
        <f t="shared" si="4"/>
        <v>Giấy vệ sinh  Shera công nghiệp tái chế  3 lớp 600g</v>
      </c>
      <c r="C59" s="109" t="s">
        <v>175</v>
      </c>
      <c r="D59" s="91" t="s">
        <v>132</v>
      </c>
      <c r="E59" s="101" t="str">
        <f>VLOOKUP(D59,'[2]Tong hop NVL'!$A$2:$B$131,2,0)</f>
        <v>Ống</v>
      </c>
      <c r="F59" s="70">
        <v>3.193E-2</v>
      </c>
    </row>
    <row r="60" spans="1:6" ht="33" customHeight="1" x14ac:dyDescent="0.3">
      <c r="B60" s="68" t="str">
        <f t="shared" si="4"/>
        <v>Giấy vệ sinh  Shera công nghiệp tái chế  3 lớp 600g</v>
      </c>
      <c r="C60" s="109" t="s">
        <v>175</v>
      </c>
      <c r="D60" s="92" t="s">
        <v>133</v>
      </c>
      <c r="E60" s="101" t="str">
        <f>VLOOKUP(D60,'[2]Tong hop NVL'!$A$2:$B$131,2,0)</f>
        <v>Ống</v>
      </c>
      <c r="F60" s="70">
        <v>3.193E-2</v>
      </c>
    </row>
    <row r="61" spans="1:6" ht="33" customHeight="1" x14ac:dyDescent="0.3">
      <c r="B61" s="68" t="str">
        <f t="shared" si="4"/>
        <v>Giấy vệ sinh  Shera công nghiệp tái chế  3 lớp 600g</v>
      </c>
      <c r="C61" s="109" t="s">
        <v>175</v>
      </c>
      <c r="D61" s="91" t="s">
        <v>134</v>
      </c>
      <c r="E61" s="101" t="str">
        <f>VLOOKUP(D61,'[2]Tong hop NVL'!$A$2:$B$131,2,0)</f>
        <v>Ống</v>
      </c>
      <c r="F61" s="70">
        <v>3.193E-2</v>
      </c>
    </row>
    <row r="62" spans="1:6" ht="33" customHeight="1" x14ac:dyDescent="0.3">
      <c r="B62" s="68" t="str">
        <f t="shared" si="4"/>
        <v>Giấy vệ sinh  Shera công nghiệp tái chế  3 lớp 600g</v>
      </c>
      <c r="C62" s="109" t="s">
        <v>175</v>
      </c>
      <c r="D62" s="78" t="s">
        <v>37</v>
      </c>
      <c r="E62" s="101" t="str">
        <f>VLOOKUP(D62,'[2]Tong hop NVL'!$A$2:$B$131,2,0)</f>
        <v>kg</v>
      </c>
      <c r="F62" s="70">
        <v>6.4375000000000005E-3</v>
      </c>
    </row>
    <row r="63" spans="1:6" ht="33" customHeight="1" x14ac:dyDescent="0.3">
      <c r="B63" s="69" t="str">
        <f t="shared" si="4"/>
        <v>Giấy vệ sinh  Shera công nghiệp tái chế  3 lớp 600g</v>
      </c>
      <c r="C63" s="109" t="s">
        <v>175</v>
      </c>
      <c r="D63" s="79" t="s">
        <v>123</v>
      </c>
      <c r="E63" s="101" t="str">
        <f>VLOOKUP(D63,'[2]Tong hop NVL'!$A$2:$B$131,2,0)</f>
        <v>kg</v>
      </c>
      <c r="F63" s="70">
        <v>8.5833333333333331E-2</v>
      </c>
    </row>
    <row r="64" spans="1:6" ht="33" customHeight="1" x14ac:dyDescent="0.3">
      <c r="B64" s="69" t="s">
        <v>3</v>
      </c>
      <c r="C64" s="109" t="s">
        <v>175</v>
      </c>
      <c r="D64" s="51" t="s">
        <v>122</v>
      </c>
      <c r="E64" s="101" t="str">
        <f>VLOOKUP(D64,'[2]Tong hop NVL'!$A$2:$B$131,2,0)</f>
        <v>kg</v>
      </c>
      <c r="F64" s="70">
        <v>4.681818181818182E-3</v>
      </c>
    </row>
    <row r="65" spans="2:6" ht="33" customHeight="1" x14ac:dyDescent="0.3">
      <c r="B65" s="95" t="str">
        <f>B64</f>
        <v>Giấy vệ sinh  Shera công nghiệp tái chế  3 lớp 600g</v>
      </c>
      <c r="C65" s="109" t="s">
        <v>175</v>
      </c>
      <c r="D65" s="51" t="s">
        <v>38</v>
      </c>
      <c r="E65" s="101" t="str">
        <f>VLOOKUP(D65,'[2]Tong hop NVL'!$A$2:$B$131,2,0)</f>
        <v>kg</v>
      </c>
      <c r="F65" s="70">
        <v>4.7906976744186043E-3</v>
      </c>
    </row>
    <row r="66" spans="2:6" ht="40.5" customHeight="1" x14ac:dyDescent="0.3">
      <c r="B66" s="71" t="s">
        <v>3</v>
      </c>
      <c r="C66" s="109" t="s">
        <v>175</v>
      </c>
      <c r="D66" s="51" t="s">
        <v>137</v>
      </c>
      <c r="E66" s="101" t="str">
        <f>VLOOKUP(D66,'[2]Tong hop NVL'!$A$2:$B$131,2,0)</f>
        <v>cái</v>
      </c>
      <c r="F66" s="70">
        <v>1.03</v>
      </c>
    </row>
    <row r="67" spans="2:6" ht="33" customHeight="1" x14ac:dyDescent="0.3">
      <c r="B67" s="10" t="s">
        <v>3</v>
      </c>
      <c r="C67" s="109" t="s">
        <v>175</v>
      </c>
      <c r="D67" s="91" t="s">
        <v>138</v>
      </c>
      <c r="E67" s="101" t="str">
        <f>VLOOKUP(D67,'[2]Tong hop NVL'!$A$2:$B$131,2,0)</f>
        <v>cuộn</v>
      </c>
      <c r="F67" s="26">
        <v>4.8270846800258562E-4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DF4D-4407-4B12-AC52-5C392EBE4C3A}">
  <sheetPr codeName="Sheet2"/>
  <dimension ref="A1:K71"/>
  <sheetViews>
    <sheetView topLeftCell="A57" workbookViewId="0">
      <selection activeCell="B4" sqref="B4:F71"/>
    </sheetView>
  </sheetViews>
  <sheetFormatPr defaultColWidth="9" defaultRowHeight="61.5" customHeight="1" x14ac:dyDescent="0.3"/>
  <cols>
    <col min="1" max="1" width="9" style="5"/>
    <col min="2" max="3" width="46.85546875" style="5" customWidth="1"/>
    <col min="4" max="4" width="49.7109375" style="5" customWidth="1"/>
    <col min="5" max="5" width="22.5703125" style="5" customWidth="1"/>
    <col min="6" max="6" width="13.5703125" style="81" customWidth="1"/>
    <col min="7" max="7" width="11.7109375" style="5" bestFit="1" customWidth="1"/>
    <col min="8" max="16384" width="9" style="5"/>
  </cols>
  <sheetData>
    <row r="1" spans="1:11" ht="32.25" customHeight="1" x14ac:dyDescent="0.3">
      <c r="B1" s="98" t="e">
        <f>#REF!</f>
        <v>#REF!</v>
      </c>
      <c r="C1" s="98"/>
      <c r="D1" s="98"/>
      <c r="E1" s="98"/>
    </row>
    <row r="2" spans="1:11" ht="33.75" customHeight="1" x14ac:dyDescent="0.3">
      <c r="B2" s="5" t="e">
        <f>B1</f>
        <v>#REF!</v>
      </c>
    </row>
    <row r="3" spans="1:11" ht="37.5" customHeight="1" x14ac:dyDescent="0.3">
      <c r="B3" s="19" t="s">
        <v>39</v>
      </c>
      <c r="C3" s="19"/>
      <c r="D3" s="19" t="s">
        <v>34</v>
      </c>
      <c r="E3" s="80" t="s">
        <v>89</v>
      </c>
      <c r="F3" s="40" t="s">
        <v>71</v>
      </c>
    </row>
    <row r="4" spans="1:11" ht="47.25" customHeight="1" x14ac:dyDescent="0.3">
      <c r="A4" s="5">
        <v>6</v>
      </c>
      <c r="B4" s="23" t="s">
        <v>54</v>
      </c>
      <c r="C4" s="112" t="s">
        <v>176</v>
      </c>
      <c r="D4" s="91" t="s">
        <v>91</v>
      </c>
      <c r="E4" s="8" t="str">
        <f>VLOOKUP(D4,'[2]Tong hop NVL'!$A$2:$B$131,2,0)</f>
        <v>kg</v>
      </c>
      <c r="F4" s="83">
        <v>1.4279999999999999</v>
      </c>
    </row>
    <row r="5" spans="1:11" ht="47.25" customHeight="1" x14ac:dyDescent="0.3">
      <c r="B5" s="23" t="str">
        <f>B4</f>
        <v>Giấy vệ sinh Shelton Hoa văn tròn dây 10 cuộn 3 lớp có lõi  (xanh ngọc)</v>
      </c>
      <c r="C5" s="112" t="s">
        <v>176</v>
      </c>
      <c r="D5" s="91" t="s">
        <v>92</v>
      </c>
      <c r="E5" s="8" t="str">
        <f>VLOOKUP(D5,'[2]Tong hop NVL'!$A$2:$B$131,2,0)</f>
        <v>kg</v>
      </c>
      <c r="F5" s="83">
        <v>1.4279999999999999</v>
      </c>
    </row>
    <row r="6" spans="1:11" ht="47.25" customHeight="1" x14ac:dyDescent="0.3">
      <c r="B6" s="23" t="str">
        <f t="shared" ref="B6:B15" si="0">B5</f>
        <v>Giấy vệ sinh Shelton Hoa văn tròn dây 10 cuộn 3 lớp có lõi  (xanh ngọc)</v>
      </c>
      <c r="C6" s="112" t="s">
        <v>176</v>
      </c>
      <c r="D6" s="91" t="s">
        <v>94</v>
      </c>
      <c r="E6" s="8" t="str">
        <f>VLOOKUP(D6,'[2]Tong hop NVL'!$A$2:$B$131,2,0)</f>
        <v>kg</v>
      </c>
      <c r="F6" s="83">
        <v>1.4279999999999999</v>
      </c>
    </row>
    <row r="7" spans="1:11" ht="47.25" customHeight="1" x14ac:dyDescent="0.3">
      <c r="B7" s="23" t="str">
        <f t="shared" si="0"/>
        <v>Giấy vệ sinh Shelton Hoa văn tròn dây 10 cuộn 3 lớp có lõi  (xanh ngọc)</v>
      </c>
      <c r="C7" s="112" t="s">
        <v>176</v>
      </c>
      <c r="D7" s="92" t="s">
        <v>95</v>
      </c>
      <c r="E7" s="8" t="str">
        <f>VLOOKUP(D7,'[2]Tong hop NVL'!$A$2:$B$131,2,0)</f>
        <v>kg</v>
      </c>
      <c r="F7" s="83">
        <v>1.4279999999999999</v>
      </c>
    </row>
    <row r="8" spans="1:11" ht="47.25" customHeight="1" x14ac:dyDescent="0.3">
      <c r="B8" s="23" t="str">
        <f t="shared" si="0"/>
        <v>Giấy vệ sinh Shelton Hoa văn tròn dây 10 cuộn 3 lớp có lõi  (xanh ngọc)</v>
      </c>
      <c r="C8" s="112" t="s">
        <v>176</v>
      </c>
      <c r="D8" s="91" t="s">
        <v>96</v>
      </c>
      <c r="E8" s="8" t="str">
        <f>VLOOKUP(D8,'[2]Tong hop NVL'!$A$2:$B$131,2,0)</f>
        <v>kg</v>
      </c>
      <c r="F8" s="83">
        <v>1.4279999999999999</v>
      </c>
    </row>
    <row r="9" spans="1:11" ht="47.25" customHeight="1" x14ac:dyDescent="0.3">
      <c r="B9" s="23" t="str">
        <f t="shared" si="0"/>
        <v>Giấy vệ sinh Shelton Hoa văn tròn dây 10 cuộn 3 lớp có lõi  (xanh ngọc)</v>
      </c>
      <c r="C9" s="112" t="s">
        <v>176</v>
      </c>
      <c r="D9" s="91" t="s">
        <v>139</v>
      </c>
      <c r="E9" s="8" t="str">
        <f>VLOOKUP(D9,'[2]Tong hop NVL'!$A$2:$B$131,2,0)</f>
        <v>Ống</v>
      </c>
      <c r="F9" s="84">
        <v>0.14419999999999999</v>
      </c>
    </row>
    <row r="10" spans="1:11" ht="47.25" customHeight="1" x14ac:dyDescent="0.3">
      <c r="B10" s="23" t="str">
        <f t="shared" si="0"/>
        <v>Giấy vệ sinh Shelton Hoa văn tròn dây 10 cuộn 3 lớp có lõi  (xanh ngọc)</v>
      </c>
      <c r="C10" s="112" t="s">
        <v>176</v>
      </c>
      <c r="D10" s="92" t="s">
        <v>140</v>
      </c>
      <c r="E10" s="8" t="str">
        <f>VLOOKUP(D10,'[2]Tong hop NVL'!$A$2:$B$131,2,0)</f>
        <v>Ống</v>
      </c>
      <c r="F10" s="83">
        <v>0.14419999999999999</v>
      </c>
    </row>
    <row r="11" spans="1:11" ht="47.25" customHeight="1" x14ac:dyDescent="0.3">
      <c r="B11" s="23" t="str">
        <f t="shared" si="0"/>
        <v>Giấy vệ sinh Shelton Hoa văn tròn dây 10 cuộn 3 lớp có lõi  (xanh ngọc)</v>
      </c>
      <c r="C11" s="112" t="s">
        <v>176</v>
      </c>
      <c r="D11" s="91" t="s">
        <v>141</v>
      </c>
      <c r="E11" s="8" t="str">
        <f>VLOOKUP(D11,'[2]Tong hop NVL'!$A$2:$B$131,2,0)</f>
        <v>Ống</v>
      </c>
      <c r="F11" s="83">
        <v>0.14419999999999999</v>
      </c>
    </row>
    <row r="12" spans="1:11" ht="47.25" customHeight="1" x14ac:dyDescent="0.3">
      <c r="B12" s="23" t="str">
        <f t="shared" si="0"/>
        <v>Giấy vệ sinh Shelton Hoa văn tròn dây 10 cuộn 3 lớp có lõi  (xanh ngọc)</v>
      </c>
      <c r="C12" s="112" t="s">
        <v>176</v>
      </c>
      <c r="D12" s="92" t="s">
        <v>142</v>
      </c>
      <c r="E12" s="8" t="str">
        <f>VLOOKUP(D12,'[2]Tong hop NVL'!$A$2:$B$131,2,0)</f>
        <v>Ống</v>
      </c>
      <c r="F12" s="83">
        <v>0.14419999999999999</v>
      </c>
    </row>
    <row r="13" spans="1:11" ht="27" customHeight="1" x14ac:dyDescent="0.3">
      <c r="B13" s="9" t="str">
        <f t="shared" si="0"/>
        <v>Giấy vệ sinh Shelton Hoa văn tròn dây 10 cuộn 3 lớp có lõi  (xanh ngọc)</v>
      </c>
      <c r="C13" s="112" t="s">
        <v>176</v>
      </c>
      <c r="D13" s="21" t="s">
        <v>124</v>
      </c>
      <c r="E13" s="8" t="str">
        <f>VLOOKUP(D13,'[2]Tong hop NVL'!$A$2:$B$131,2,0)</f>
        <v>kg</v>
      </c>
      <c r="F13" s="84">
        <v>2.06E-2</v>
      </c>
    </row>
    <row r="14" spans="1:11" ht="27" customHeight="1" x14ac:dyDescent="0.3">
      <c r="B14" s="9" t="str">
        <f t="shared" si="0"/>
        <v>Giấy vệ sinh Shelton Hoa văn tròn dây 10 cuộn 3 lớp có lõi  (xanh ngọc)</v>
      </c>
      <c r="C14" s="112" t="s">
        <v>176</v>
      </c>
      <c r="D14" s="21" t="s">
        <v>127</v>
      </c>
      <c r="E14" s="8" t="str">
        <f>VLOOKUP(D14,'[2]Tong hop NVL'!$A$2:$B$131,2,0)</f>
        <v>kg</v>
      </c>
      <c r="F14" s="84">
        <v>9.3636363636363639E-3</v>
      </c>
    </row>
    <row r="15" spans="1:11" ht="27" customHeight="1" x14ac:dyDescent="0.3">
      <c r="B15" s="8" t="str">
        <f t="shared" si="0"/>
        <v>Giấy vệ sinh Shelton Hoa văn tròn dây 10 cuộn 3 lớp có lõi  (xanh ngọc)</v>
      </c>
      <c r="C15" s="112" t="s">
        <v>176</v>
      </c>
      <c r="D15" s="21" t="s">
        <v>36</v>
      </c>
      <c r="E15" s="8" t="e">
        <f>VLOOKUP(D15,'[2]Tong hop NVL'!$A$2:$B$131,2,0)</f>
        <v>#N/A</v>
      </c>
      <c r="F15" s="84">
        <v>6.8244990303813842E-4</v>
      </c>
      <c r="K15" s="5">
        <v>18564</v>
      </c>
    </row>
    <row r="16" spans="1:11" ht="33" customHeight="1" x14ac:dyDescent="0.3">
      <c r="A16" s="5">
        <v>7</v>
      </c>
      <c r="B16" s="23" t="s">
        <v>4</v>
      </c>
      <c r="C16" s="112" t="s">
        <v>176</v>
      </c>
      <c r="D16" s="91" t="s">
        <v>91</v>
      </c>
      <c r="E16" s="8" t="str">
        <f>VLOOKUP(D16,'[2]Tong hop NVL'!$A$2:$B$131,2,0)</f>
        <v>kg</v>
      </c>
      <c r="F16" s="81">
        <v>1.5750000000000002</v>
      </c>
    </row>
    <row r="17" spans="1:6" ht="33" customHeight="1" x14ac:dyDescent="0.3">
      <c r="B17" s="23" t="str">
        <f t="shared" ref="B17:B23" si="1">B16</f>
        <v>Giấy vệ sinh Shelton Hoa văn tròn dây 10 cuộn 3 lớp không lõi (xanh dương)</v>
      </c>
      <c r="C17" s="112" t="s">
        <v>176</v>
      </c>
      <c r="D17" s="91" t="s">
        <v>92</v>
      </c>
      <c r="E17" s="8" t="str">
        <f>VLOOKUP(D17,'[2]Tong hop NVL'!$A$2:$B$131,2,0)</f>
        <v>kg</v>
      </c>
      <c r="F17" s="81">
        <v>1.5750000000000002</v>
      </c>
    </row>
    <row r="18" spans="1:6" ht="33" customHeight="1" x14ac:dyDescent="0.3">
      <c r="B18" s="23" t="str">
        <f t="shared" si="1"/>
        <v>Giấy vệ sinh Shelton Hoa văn tròn dây 10 cuộn 3 lớp không lõi (xanh dương)</v>
      </c>
      <c r="C18" s="112" t="s">
        <v>176</v>
      </c>
      <c r="D18" s="91" t="s">
        <v>94</v>
      </c>
      <c r="E18" s="8" t="str">
        <f>VLOOKUP(D18,'[2]Tong hop NVL'!$A$2:$B$131,2,0)</f>
        <v>kg</v>
      </c>
      <c r="F18" s="81">
        <v>1.5750000000000002</v>
      </c>
    </row>
    <row r="19" spans="1:6" ht="33" customHeight="1" x14ac:dyDescent="0.3">
      <c r="B19" s="23" t="str">
        <f t="shared" si="1"/>
        <v>Giấy vệ sinh Shelton Hoa văn tròn dây 10 cuộn 3 lớp không lõi (xanh dương)</v>
      </c>
      <c r="C19" s="112" t="s">
        <v>176</v>
      </c>
      <c r="D19" s="92" t="s">
        <v>95</v>
      </c>
      <c r="E19" s="8" t="str">
        <f>VLOOKUP(D19,'[2]Tong hop NVL'!$A$2:$B$131,2,0)</f>
        <v>kg</v>
      </c>
      <c r="F19" s="81">
        <v>1.5750000000000002</v>
      </c>
    </row>
    <row r="20" spans="1:6" ht="33" customHeight="1" x14ac:dyDescent="0.3">
      <c r="B20" s="23" t="str">
        <f t="shared" si="1"/>
        <v>Giấy vệ sinh Shelton Hoa văn tròn dây 10 cuộn 3 lớp không lõi (xanh dương)</v>
      </c>
      <c r="C20" s="112" t="s">
        <v>176</v>
      </c>
      <c r="D20" s="91" t="s">
        <v>96</v>
      </c>
      <c r="E20" s="8" t="str">
        <f>VLOOKUP(D20,'[2]Tong hop NVL'!$A$2:$B$131,2,0)</f>
        <v>kg</v>
      </c>
      <c r="F20" s="81">
        <v>1.5750000000000002</v>
      </c>
    </row>
    <row r="21" spans="1:6" ht="37.5" x14ac:dyDescent="0.3">
      <c r="B21" s="12" t="str">
        <f t="shared" si="1"/>
        <v>Giấy vệ sinh Shelton Hoa văn tròn dây 10 cuộn 3 lớp không lõi (xanh dương)</v>
      </c>
      <c r="C21" s="112" t="s">
        <v>176</v>
      </c>
      <c r="D21" s="62" t="s">
        <v>126</v>
      </c>
      <c r="E21" s="8" t="str">
        <f>VLOOKUP(D21,'[2]Tong hop NVL'!$A$2:$B$131,2,0)</f>
        <v>kg</v>
      </c>
      <c r="F21" s="81">
        <v>2.1914893617021276E-2</v>
      </c>
    </row>
    <row r="22" spans="1:6" ht="27" customHeight="1" x14ac:dyDescent="0.3">
      <c r="B22" s="12" t="str">
        <f t="shared" si="1"/>
        <v>Giấy vệ sinh Shelton Hoa văn tròn dây 10 cuộn 3 lớp không lõi (xanh dương)</v>
      </c>
      <c r="C22" s="112" t="s">
        <v>176</v>
      </c>
      <c r="D22" s="21" t="s">
        <v>127</v>
      </c>
      <c r="E22" s="8" t="str">
        <f>VLOOKUP(D22,'[2]Tong hop NVL'!$A$2:$B$131,2,0)</f>
        <v>kg</v>
      </c>
      <c r="F22" s="81">
        <v>9.3636363636363639E-3</v>
      </c>
    </row>
    <row r="23" spans="1:6" ht="27" customHeight="1" x14ac:dyDescent="0.3">
      <c r="B23" s="12" t="str">
        <f t="shared" si="1"/>
        <v>Giấy vệ sinh Shelton Hoa văn tròn dây 10 cuộn 3 lớp không lõi (xanh dương)</v>
      </c>
      <c r="C23" s="112" t="s">
        <v>176</v>
      </c>
      <c r="D23" s="91" t="s">
        <v>138</v>
      </c>
      <c r="E23" s="8" t="str">
        <f>VLOOKUP(D23,'[2]Tong hop NVL'!$A$2:$B$131,2,0)</f>
        <v>cuộn</v>
      </c>
      <c r="F23" s="84">
        <v>6.8244990303813842E-4</v>
      </c>
    </row>
    <row r="24" spans="1:6" ht="34.5" customHeight="1" x14ac:dyDescent="0.3">
      <c r="A24" s="5">
        <v>8</v>
      </c>
      <c r="B24" s="23" t="s">
        <v>5</v>
      </c>
      <c r="C24" s="112" t="s">
        <v>176</v>
      </c>
      <c r="D24" s="91" t="s">
        <v>91</v>
      </c>
      <c r="E24" s="8" t="str">
        <f>VLOOKUP(D24,'[2]Tong hop NVL'!$A$2:$B$131,2,0)</f>
        <v>kg</v>
      </c>
      <c r="F24" s="81">
        <v>1.7136000000000002</v>
      </c>
    </row>
    <row r="25" spans="1:6" ht="34.5" customHeight="1" x14ac:dyDescent="0.3">
      <c r="B25" s="23" t="str">
        <f t="shared" ref="B25:B35" si="2">B24</f>
        <v>Giấy vệ sinh Shelton Hoa văn tròn dây 12 cuộn 3 lớp có lõi</v>
      </c>
      <c r="C25" s="112" t="s">
        <v>176</v>
      </c>
      <c r="D25" s="91" t="s">
        <v>92</v>
      </c>
      <c r="E25" s="8" t="str">
        <f>VLOOKUP(D25,'[2]Tong hop NVL'!$A$2:$B$131,2,0)</f>
        <v>kg</v>
      </c>
      <c r="F25" s="81">
        <v>1.7136000000000002</v>
      </c>
    </row>
    <row r="26" spans="1:6" ht="34.5" customHeight="1" x14ac:dyDescent="0.3">
      <c r="B26" s="23" t="str">
        <f t="shared" si="2"/>
        <v>Giấy vệ sinh Shelton Hoa văn tròn dây 12 cuộn 3 lớp có lõi</v>
      </c>
      <c r="C26" s="112" t="s">
        <v>176</v>
      </c>
      <c r="D26" s="91" t="s">
        <v>94</v>
      </c>
      <c r="E26" s="8" t="str">
        <f>VLOOKUP(D26,'[2]Tong hop NVL'!$A$2:$B$131,2,0)</f>
        <v>kg</v>
      </c>
      <c r="F26" s="81">
        <v>1.7136000000000002</v>
      </c>
    </row>
    <row r="27" spans="1:6" ht="34.5" customHeight="1" x14ac:dyDescent="0.3">
      <c r="B27" s="23" t="str">
        <f t="shared" si="2"/>
        <v>Giấy vệ sinh Shelton Hoa văn tròn dây 12 cuộn 3 lớp có lõi</v>
      </c>
      <c r="C27" s="112" t="s">
        <v>176</v>
      </c>
      <c r="D27" s="92" t="s">
        <v>95</v>
      </c>
      <c r="E27" s="8" t="str">
        <f>VLOOKUP(D27,'[2]Tong hop NVL'!$A$2:$B$131,2,0)</f>
        <v>kg</v>
      </c>
      <c r="F27" s="81">
        <v>1.7136000000000002</v>
      </c>
    </row>
    <row r="28" spans="1:6" ht="34.5" customHeight="1" x14ac:dyDescent="0.3">
      <c r="B28" s="23" t="str">
        <f t="shared" si="2"/>
        <v>Giấy vệ sinh Shelton Hoa văn tròn dây 12 cuộn 3 lớp có lõi</v>
      </c>
      <c r="C28" s="112" t="s">
        <v>176</v>
      </c>
      <c r="D28" s="91" t="s">
        <v>96</v>
      </c>
      <c r="E28" s="8" t="str">
        <f>VLOOKUP(D28,'[2]Tong hop NVL'!$A$2:$B$131,2,0)</f>
        <v>kg</v>
      </c>
      <c r="F28" s="81">
        <v>1.7136000000000002</v>
      </c>
    </row>
    <row r="29" spans="1:6" ht="34.5" customHeight="1" x14ac:dyDescent="0.3">
      <c r="B29" s="23" t="str">
        <f t="shared" si="2"/>
        <v>Giấy vệ sinh Shelton Hoa văn tròn dây 12 cuộn 3 lớp có lõi</v>
      </c>
      <c r="C29" s="112" t="s">
        <v>176</v>
      </c>
      <c r="D29" s="91" t="s">
        <v>139</v>
      </c>
      <c r="E29" s="8" t="str">
        <f>VLOOKUP(D29,'[2]Tong hop NVL'!$A$2:$B$131,2,0)</f>
        <v>Ống</v>
      </c>
      <c r="F29" s="81">
        <v>1.4700000000000001E-2</v>
      </c>
    </row>
    <row r="30" spans="1:6" ht="34.5" customHeight="1" x14ac:dyDescent="0.3">
      <c r="B30" s="23" t="str">
        <f t="shared" si="2"/>
        <v>Giấy vệ sinh Shelton Hoa văn tròn dây 12 cuộn 3 lớp có lõi</v>
      </c>
      <c r="C30" s="112" t="s">
        <v>176</v>
      </c>
      <c r="D30" s="92" t="s">
        <v>140</v>
      </c>
      <c r="E30" s="8" t="str">
        <f>VLOOKUP(D30,'[2]Tong hop NVL'!$A$2:$B$131,2,0)</f>
        <v>Ống</v>
      </c>
      <c r="F30" s="81">
        <v>1.4700000000000001E-2</v>
      </c>
    </row>
    <row r="31" spans="1:6" ht="34.5" customHeight="1" x14ac:dyDescent="0.3">
      <c r="B31" s="23" t="str">
        <f t="shared" si="2"/>
        <v>Giấy vệ sinh Shelton Hoa văn tròn dây 12 cuộn 3 lớp có lõi</v>
      </c>
      <c r="C31" s="112" t="s">
        <v>176</v>
      </c>
      <c r="D31" s="91" t="s">
        <v>141</v>
      </c>
      <c r="E31" s="8" t="str">
        <f>VLOOKUP(D31,'[2]Tong hop NVL'!$A$2:$B$131,2,0)</f>
        <v>Ống</v>
      </c>
      <c r="F31" s="81">
        <v>1.4700000000000001E-2</v>
      </c>
    </row>
    <row r="32" spans="1:6" ht="34.5" customHeight="1" x14ac:dyDescent="0.3">
      <c r="B32" s="23" t="str">
        <f t="shared" si="2"/>
        <v>Giấy vệ sinh Shelton Hoa văn tròn dây 12 cuộn 3 lớp có lõi</v>
      </c>
      <c r="C32" s="112" t="s">
        <v>176</v>
      </c>
      <c r="D32" s="92" t="s">
        <v>142</v>
      </c>
      <c r="E32" s="8" t="str">
        <f>VLOOKUP(D32,'[2]Tong hop NVL'!$A$2:$B$131,2,0)</f>
        <v>Ống</v>
      </c>
      <c r="F32" s="81">
        <v>1.4700000000000001E-2</v>
      </c>
    </row>
    <row r="33" spans="1:7" ht="27" customHeight="1" x14ac:dyDescent="0.3">
      <c r="B33" s="12" t="str">
        <f t="shared" si="2"/>
        <v>Giấy vệ sinh Shelton Hoa văn tròn dây 12 cuộn 3 lớp có lõi</v>
      </c>
      <c r="C33" s="112" t="s">
        <v>176</v>
      </c>
      <c r="D33" s="21" t="s">
        <v>125</v>
      </c>
      <c r="E33" s="8" t="str">
        <f>VLOOKUP(D33,'[2]Tong hop NVL'!$A$2:$B$131,2,0)</f>
        <v>kg</v>
      </c>
      <c r="F33" s="81">
        <v>2.763157894736842E-2</v>
      </c>
    </row>
    <row r="34" spans="1:7" ht="27" customHeight="1" x14ac:dyDescent="0.3">
      <c r="B34" s="12" t="str">
        <f t="shared" si="2"/>
        <v>Giấy vệ sinh Shelton Hoa văn tròn dây 12 cuộn 3 lớp có lõi</v>
      </c>
      <c r="C34" s="112" t="s">
        <v>176</v>
      </c>
      <c r="D34" s="21" t="s">
        <v>128</v>
      </c>
      <c r="E34" s="8" t="str">
        <f>VLOOKUP(D34,'[2]Tong hop NVL'!$A$2:$B$131,2,0)</f>
        <v>kg</v>
      </c>
      <c r="F34" s="81">
        <v>8.7499999999999994E-2</v>
      </c>
    </row>
    <row r="35" spans="1:7" ht="27" customHeight="1" x14ac:dyDescent="0.3">
      <c r="B35" s="12" t="str">
        <f t="shared" si="2"/>
        <v>Giấy vệ sinh Shelton Hoa văn tròn dây 12 cuộn 3 lớp có lõi</v>
      </c>
      <c r="C35" s="112" t="s">
        <v>176</v>
      </c>
      <c r="D35" s="91" t="s">
        <v>138</v>
      </c>
      <c r="E35" s="8" t="str">
        <f>VLOOKUP(D35,'[2]Tong hop NVL'!$A$2:$B$131,2,0)</f>
        <v>cuộn</v>
      </c>
      <c r="F35" s="81">
        <v>1.0541909071320836E-3</v>
      </c>
    </row>
    <row r="36" spans="1:7" ht="34.5" customHeight="1" x14ac:dyDescent="0.3">
      <c r="A36" s="5">
        <v>9</v>
      </c>
      <c r="B36" s="23" t="s">
        <v>6</v>
      </c>
      <c r="C36" s="112" t="s">
        <v>176</v>
      </c>
      <c r="D36" s="91" t="s">
        <v>91</v>
      </c>
      <c r="E36" s="8" t="str">
        <f>VLOOKUP(D36,'[2]Tong hop NVL'!$A$2:$B$131,2,0)</f>
        <v>kg</v>
      </c>
      <c r="F36" s="81">
        <v>1.8900000000000001</v>
      </c>
    </row>
    <row r="37" spans="1:7" ht="34.5" customHeight="1" x14ac:dyDescent="0.3">
      <c r="B37" s="23" t="str">
        <f t="shared" ref="B37:B43" si="3">B36</f>
        <v>Giấy vệ sinh Shelton Hoa văn tròn dây 12 cuộn 3 lớp không lõi</v>
      </c>
      <c r="C37" s="112" t="s">
        <v>176</v>
      </c>
      <c r="D37" s="91" t="s">
        <v>92</v>
      </c>
      <c r="E37" s="8" t="str">
        <f>VLOOKUP(D37,'[2]Tong hop NVL'!$A$2:$B$131,2,0)</f>
        <v>kg</v>
      </c>
      <c r="F37" s="81">
        <v>1.8900000000000001</v>
      </c>
    </row>
    <row r="38" spans="1:7" ht="34.5" customHeight="1" x14ac:dyDescent="0.3">
      <c r="B38" s="23" t="str">
        <f t="shared" si="3"/>
        <v>Giấy vệ sinh Shelton Hoa văn tròn dây 12 cuộn 3 lớp không lõi</v>
      </c>
      <c r="C38" s="112" t="s">
        <v>176</v>
      </c>
      <c r="D38" s="91" t="s">
        <v>94</v>
      </c>
      <c r="E38" s="8" t="str">
        <f>VLOOKUP(D38,'[2]Tong hop NVL'!$A$2:$B$131,2,0)</f>
        <v>kg</v>
      </c>
      <c r="F38" s="81">
        <v>1.8900000000000001</v>
      </c>
    </row>
    <row r="39" spans="1:7" ht="34.5" customHeight="1" x14ac:dyDescent="0.3">
      <c r="B39" s="23" t="str">
        <f t="shared" si="3"/>
        <v>Giấy vệ sinh Shelton Hoa văn tròn dây 12 cuộn 3 lớp không lõi</v>
      </c>
      <c r="C39" s="112" t="s">
        <v>176</v>
      </c>
      <c r="D39" s="92" t="s">
        <v>95</v>
      </c>
      <c r="E39" s="8" t="str">
        <f>VLOOKUP(D39,'[2]Tong hop NVL'!$A$2:$B$131,2,0)</f>
        <v>kg</v>
      </c>
      <c r="F39" s="81">
        <v>1.8900000000000001</v>
      </c>
    </row>
    <row r="40" spans="1:7" ht="34.5" customHeight="1" x14ac:dyDescent="0.3">
      <c r="B40" s="23" t="str">
        <f t="shared" si="3"/>
        <v>Giấy vệ sinh Shelton Hoa văn tròn dây 12 cuộn 3 lớp không lõi</v>
      </c>
      <c r="C40" s="112" t="s">
        <v>176</v>
      </c>
      <c r="D40" s="91" t="s">
        <v>96</v>
      </c>
      <c r="E40" s="8" t="str">
        <f>VLOOKUP(D40,'[2]Tong hop NVL'!$A$2:$B$131,2,0)</f>
        <v>kg</v>
      </c>
      <c r="F40" s="81">
        <v>1.8900000000000001</v>
      </c>
    </row>
    <row r="41" spans="1:7" ht="34.5" customHeight="1" x14ac:dyDescent="0.3">
      <c r="B41" s="8" t="str">
        <f t="shared" si="3"/>
        <v>Giấy vệ sinh Shelton Hoa văn tròn dây 12 cuộn 3 lớp không lõi</v>
      </c>
      <c r="C41" s="112" t="s">
        <v>176</v>
      </c>
      <c r="D41" s="108" t="s">
        <v>126</v>
      </c>
      <c r="E41" s="8" t="str">
        <f>VLOOKUP(D41,'[2]Tong hop NVL'!$A$2:$B$131,2,0)</f>
        <v>kg</v>
      </c>
      <c r="F41" s="81">
        <v>2.837837837837838E-2</v>
      </c>
    </row>
    <row r="42" spans="1:7" ht="27" customHeight="1" x14ac:dyDescent="0.3">
      <c r="B42" s="8" t="str">
        <f t="shared" si="3"/>
        <v>Giấy vệ sinh Shelton Hoa văn tròn dây 12 cuộn 3 lớp không lõi</v>
      </c>
      <c r="C42" s="112" t="s">
        <v>176</v>
      </c>
      <c r="D42" s="21" t="s">
        <v>128</v>
      </c>
      <c r="E42" s="8" t="str">
        <f>VLOOKUP(D42,'[2]Tong hop NVL'!$A$2:$B$131,2,0)</f>
        <v>kg</v>
      </c>
      <c r="F42" s="81">
        <v>0.11666666666666667</v>
      </c>
    </row>
    <row r="43" spans="1:7" ht="27" customHeight="1" x14ac:dyDescent="0.3">
      <c r="B43" s="8" t="str">
        <f t="shared" si="3"/>
        <v>Giấy vệ sinh Shelton Hoa văn tròn dây 12 cuộn 3 lớp không lõi</v>
      </c>
      <c r="C43" s="112" t="s">
        <v>176</v>
      </c>
      <c r="D43" s="91" t="s">
        <v>138</v>
      </c>
      <c r="E43" s="8" t="str">
        <f>VLOOKUP(D43,'[2]Tong hop NVL'!$A$2:$B$131,2,0)</f>
        <v>cuộn</v>
      </c>
      <c r="F43" s="81">
        <v>1.0541909071320836E-3</v>
      </c>
    </row>
    <row r="44" spans="1:7" ht="34.5" customHeight="1" x14ac:dyDescent="0.3">
      <c r="A44" s="5">
        <v>10</v>
      </c>
      <c r="B44" s="23" t="s">
        <v>7</v>
      </c>
      <c r="C44" s="112" t="s">
        <v>176</v>
      </c>
      <c r="D44" s="92" t="s">
        <v>97</v>
      </c>
      <c r="E44" s="8" t="str">
        <f>VLOOKUP(D44,'[2]Tong hop NVL'!$A$2:$B$131,2,0)</f>
        <v>kg</v>
      </c>
      <c r="F44" s="85">
        <v>1.4279999999999999</v>
      </c>
      <c r="G44" s="39"/>
    </row>
    <row r="45" spans="1:7" ht="34.5" customHeight="1" x14ac:dyDescent="0.3">
      <c r="B45" s="23" t="str">
        <f t="shared" ref="B45:B60" si="4">B44</f>
        <v>Giấy vệ sinh Shelton Hoa văn tròn dây 10 cuộn 2 lớp có lõi</v>
      </c>
      <c r="C45" s="112" t="s">
        <v>176</v>
      </c>
      <c r="D45" s="92" t="s">
        <v>98</v>
      </c>
      <c r="E45" s="8" t="str">
        <f>VLOOKUP(D45,'[2]Tong hop NVL'!$A$2:$B$131,2,0)</f>
        <v>kg</v>
      </c>
      <c r="F45" s="85">
        <v>1.4279999999999999</v>
      </c>
      <c r="G45" s="39"/>
    </row>
    <row r="46" spans="1:7" ht="34.5" customHeight="1" x14ac:dyDescent="0.3">
      <c r="B46" s="23" t="str">
        <f t="shared" si="4"/>
        <v>Giấy vệ sinh Shelton Hoa văn tròn dây 10 cuộn 2 lớp có lõi</v>
      </c>
      <c r="C46" s="112" t="s">
        <v>176</v>
      </c>
      <c r="D46" s="91" t="s">
        <v>99</v>
      </c>
      <c r="E46" s="8" t="str">
        <f>VLOOKUP(D46,'[2]Tong hop NVL'!$A$2:$B$131,2,0)</f>
        <v>kg</v>
      </c>
      <c r="F46" s="85">
        <v>1.4279999999999999</v>
      </c>
      <c r="G46" s="39"/>
    </row>
    <row r="47" spans="1:7" ht="34.5" customHeight="1" x14ac:dyDescent="0.3">
      <c r="B47" s="23" t="str">
        <f t="shared" si="4"/>
        <v>Giấy vệ sinh Shelton Hoa văn tròn dây 10 cuộn 2 lớp có lõi</v>
      </c>
      <c r="C47" s="112" t="s">
        <v>176</v>
      </c>
      <c r="D47" s="91" t="s">
        <v>100</v>
      </c>
      <c r="E47" s="8" t="str">
        <f>VLOOKUP(D47,'[2]Tong hop NVL'!$A$2:$B$131,2,0)</f>
        <v>kg</v>
      </c>
      <c r="F47" s="85">
        <v>1.4279999999999999</v>
      </c>
      <c r="G47" s="39"/>
    </row>
    <row r="48" spans="1:7" ht="34.5" customHeight="1" x14ac:dyDescent="0.3">
      <c r="B48" s="23" t="str">
        <f t="shared" si="4"/>
        <v>Giấy vệ sinh Shelton Hoa văn tròn dây 10 cuộn 2 lớp có lõi</v>
      </c>
      <c r="C48" s="112" t="s">
        <v>176</v>
      </c>
      <c r="D48" s="92" t="s">
        <v>101</v>
      </c>
      <c r="E48" s="8" t="str">
        <f>VLOOKUP(D48,'[2]Tong hop NVL'!$A$2:$B$131,2,0)</f>
        <v>kg</v>
      </c>
      <c r="F48" s="85">
        <v>1.4279999999999999</v>
      </c>
      <c r="G48" s="39"/>
    </row>
    <row r="49" spans="1:7" ht="34.5" customHeight="1" x14ac:dyDescent="0.3">
      <c r="B49" s="23" t="str">
        <f t="shared" si="4"/>
        <v>Giấy vệ sinh Shelton Hoa văn tròn dây 10 cuộn 2 lớp có lõi</v>
      </c>
      <c r="C49" s="112" t="s">
        <v>176</v>
      </c>
      <c r="D49" s="92" t="s">
        <v>93</v>
      </c>
      <c r="E49" s="8" t="str">
        <f>VLOOKUP(D49,'[2]Tong hop NVL'!$A$2:$B$131,2,0)</f>
        <v>kg</v>
      </c>
      <c r="F49" s="85">
        <v>1.4279999999999999</v>
      </c>
      <c r="G49" s="39"/>
    </row>
    <row r="50" spans="1:7" ht="34.5" customHeight="1" x14ac:dyDescent="0.3">
      <c r="B50" s="23" t="str">
        <f t="shared" si="4"/>
        <v>Giấy vệ sinh Shelton Hoa văn tròn dây 10 cuộn 2 lớp có lõi</v>
      </c>
      <c r="C50" s="112" t="s">
        <v>176</v>
      </c>
      <c r="D50" s="91" t="s">
        <v>102</v>
      </c>
      <c r="E50" s="8" t="str">
        <f>VLOOKUP(D50,'[2]Tong hop NVL'!$A$2:$B$131,2,0)</f>
        <v>kg</v>
      </c>
      <c r="F50" s="85">
        <v>1.4279999999999999</v>
      </c>
      <c r="G50" s="39"/>
    </row>
    <row r="51" spans="1:7" ht="34.5" customHeight="1" x14ac:dyDescent="0.3">
      <c r="B51" s="23" t="str">
        <f t="shared" si="4"/>
        <v>Giấy vệ sinh Shelton Hoa văn tròn dây 10 cuộn 2 lớp có lõi</v>
      </c>
      <c r="C51" s="112" t="s">
        <v>176</v>
      </c>
      <c r="D51" s="92" t="s">
        <v>103</v>
      </c>
      <c r="E51" s="8" t="str">
        <f>VLOOKUP(D51,'[2]Tong hop NVL'!$A$2:$B$131,2,0)</f>
        <v>kg</v>
      </c>
      <c r="F51" s="85">
        <v>1.4279999999999999</v>
      </c>
      <c r="G51" s="39"/>
    </row>
    <row r="52" spans="1:7" ht="34.5" customHeight="1" x14ac:dyDescent="0.3">
      <c r="B52" s="23" t="str">
        <f t="shared" si="4"/>
        <v>Giấy vệ sinh Shelton Hoa văn tròn dây 10 cuộn 2 lớp có lõi</v>
      </c>
      <c r="C52" s="112" t="s">
        <v>176</v>
      </c>
      <c r="D52" s="92" t="s">
        <v>104</v>
      </c>
      <c r="E52" s="8" t="str">
        <f>VLOOKUP(D52,'[2]Tong hop NVL'!$A$2:$B$131,2,0)</f>
        <v>kg</v>
      </c>
      <c r="F52" s="85">
        <v>1.4279999999999999</v>
      </c>
      <c r="G52" s="39"/>
    </row>
    <row r="53" spans="1:7" ht="34.5" customHeight="1" x14ac:dyDescent="0.3">
      <c r="B53" s="23" t="str">
        <f t="shared" si="4"/>
        <v>Giấy vệ sinh Shelton Hoa văn tròn dây 10 cuộn 2 lớp có lõi</v>
      </c>
      <c r="C53" s="112" t="s">
        <v>176</v>
      </c>
      <c r="D53" s="91" t="s">
        <v>105</v>
      </c>
      <c r="E53" s="8" t="str">
        <f>VLOOKUP(D53,'[2]Tong hop NVL'!$A$2:$B$131,2,0)</f>
        <v>kg</v>
      </c>
      <c r="F53" s="85">
        <v>1.4279999999999999</v>
      </c>
      <c r="G53" s="39"/>
    </row>
    <row r="54" spans="1:7" ht="34.5" customHeight="1" x14ac:dyDescent="0.3">
      <c r="B54" s="23" t="str">
        <f t="shared" si="4"/>
        <v>Giấy vệ sinh Shelton Hoa văn tròn dây 10 cuộn 2 lớp có lõi</v>
      </c>
      <c r="C54" s="112" t="s">
        <v>176</v>
      </c>
      <c r="D54" s="91" t="s">
        <v>139</v>
      </c>
      <c r="E54" s="8" t="str">
        <f>VLOOKUP(D54,'[2]Tong hop NVL'!$A$2:$B$131,2,0)</f>
        <v>Ống</v>
      </c>
      <c r="F54" s="82">
        <v>1.4420000000000001E-2</v>
      </c>
      <c r="G54" s="39"/>
    </row>
    <row r="55" spans="1:7" ht="34.5" customHeight="1" x14ac:dyDescent="0.3">
      <c r="B55" s="23" t="str">
        <f t="shared" si="4"/>
        <v>Giấy vệ sinh Shelton Hoa văn tròn dây 10 cuộn 2 lớp có lõi</v>
      </c>
      <c r="C55" s="112" t="s">
        <v>176</v>
      </c>
      <c r="D55" s="92" t="s">
        <v>140</v>
      </c>
      <c r="E55" s="8" t="str">
        <f>VLOOKUP(D55,'[2]Tong hop NVL'!$A$2:$B$131,2,0)</f>
        <v>Ống</v>
      </c>
      <c r="F55" s="85">
        <v>1.4420000000000001E-2</v>
      </c>
      <c r="G55" s="39"/>
    </row>
    <row r="56" spans="1:7" ht="34.5" customHeight="1" x14ac:dyDescent="0.3">
      <c r="B56" s="23" t="str">
        <f t="shared" si="4"/>
        <v>Giấy vệ sinh Shelton Hoa văn tròn dây 10 cuộn 2 lớp có lõi</v>
      </c>
      <c r="C56" s="112" t="s">
        <v>176</v>
      </c>
      <c r="D56" s="91" t="s">
        <v>141</v>
      </c>
      <c r="E56" s="8" t="str">
        <f>VLOOKUP(D56,'[2]Tong hop NVL'!$A$2:$B$131,2,0)</f>
        <v>Ống</v>
      </c>
      <c r="F56" s="85">
        <v>1.4420000000000001E-2</v>
      </c>
      <c r="G56" s="39"/>
    </row>
    <row r="57" spans="1:7" ht="34.5" customHeight="1" x14ac:dyDescent="0.3">
      <c r="B57" s="23" t="str">
        <f t="shared" si="4"/>
        <v>Giấy vệ sinh Shelton Hoa văn tròn dây 10 cuộn 2 lớp có lõi</v>
      </c>
      <c r="C57" s="112" t="s">
        <v>176</v>
      </c>
      <c r="D57" s="92" t="s">
        <v>142</v>
      </c>
      <c r="E57" s="8" t="str">
        <f>VLOOKUP(D57,'[2]Tong hop NVL'!$A$2:$B$131,2,0)</f>
        <v>Ống</v>
      </c>
      <c r="F57" s="85">
        <v>1.4420000000000001E-2</v>
      </c>
      <c r="G57" s="39"/>
    </row>
    <row r="58" spans="1:7" ht="27" customHeight="1" x14ac:dyDescent="0.3">
      <c r="B58" s="12" t="str">
        <f t="shared" si="4"/>
        <v>Giấy vệ sinh Shelton Hoa văn tròn dây 10 cuộn 2 lớp có lõi</v>
      </c>
      <c r="C58" s="112" t="s">
        <v>176</v>
      </c>
      <c r="D58" s="21" t="s">
        <v>41</v>
      </c>
      <c r="E58" s="8" t="str">
        <f>VLOOKUP(D58,'[2]Tong hop NVL'!$A$2:$B$131,2,0)</f>
        <v>kg</v>
      </c>
      <c r="F58" s="82">
        <v>2.1020408163265305E-2</v>
      </c>
      <c r="G58" s="39"/>
    </row>
    <row r="59" spans="1:7" ht="27" customHeight="1" x14ac:dyDescent="0.3">
      <c r="B59" s="12" t="str">
        <f t="shared" si="4"/>
        <v>Giấy vệ sinh Shelton Hoa văn tròn dây 10 cuộn 2 lớp có lõi</v>
      </c>
      <c r="C59" s="112" t="s">
        <v>176</v>
      </c>
      <c r="D59" s="21" t="s">
        <v>127</v>
      </c>
      <c r="E59" s="8" t="str">
        <f>VLOOKUP(D59,'[2]Tong hop NVL'!$A$2:$B$131,2,0)</f>
        <v>kg</v>
      </c>
      <c r="F59" s="82">
        <v>9.3636363636363643E-2</v>
      </c>
      <c r="G59" s="39"/>
    </row>
    <row r="60" spans="1:7" ht="27" customHeight="1" x14ac:dyDescent="0.3">
      <c r="B60" s="12" t="str">
        <f t="shared" si="4"/>
        <v>Giấy vệ sinh Shelton Hoa văn tròn dây 10 cuộn 2 lớp có lõi</v>
      </c>
      <c r="C60" s="112" t="s">
        <v>176</v>
      </c>
      <c r="D60" s="91" t="s">
        <v>138</v>
      </c>
      <c r="E60" s="8" t="str">
        <f>VLOOKUP(D60,'[2]Tong hop NVL'!$A$2:$B$131,2,0)</f>
        <v>cuộn</v>
      </c>
      <c r="F60" s="82">
        <v>6.8244990303813842E-4</v>
      </c>
    </row>
    <row r="61" spans="1:7" ht="36.75" customHeight="1" x14ac:dyDescent="0.3">
      <c r="A61" s="5">
        <v>11</v>
      </c>
      <c r="B61" s="63" t="s">
        <v>106</v>
      </c>
      <c r="C61" s="112" t="s">
        <v>176</v>
      </c>
      <c r="D61" s="92" t="s">
        <v>97</v>
      </c>
      <c r="E61" s="8" t="str">
        <f>VLOOKUP(D61,'[2]Tong hop NVL'!$A$2:$B$131,2,0)</f>
        <v>kg</v>
      </c>
      <c r="F61" s="81">
        <v>0.86730000000000007</v>
      </c>
    </row>
    <row r="62" spans="1:7" ht="36.75" customHeight="1" x14ac:dyDescent="0.3">
      <c r="B62" s="63" t="str">
        <f t="shared" ref="B62:B71" si="5">B61</f>
        <v>Giấy vệ sinh  Shera 2 lớp 12 cuộn có lõi 70g (phôi An Hòa)</v>
      </c>
      <c r="C62" s="112" t="s">
        <v>176</v>
      </c>
      <c r="D62" s="92" t="s">
        <v>98</v>
      </c>
      <c r="E62" s="8" t="str">
        <f>VLOOKUP(D62,'[2]Tong hop NVL'!$A$2:$B$131,2,0)</f>
        <v>kg</v>
      </c>
      <c r="F62" s="81">
        <v>0.86730000000000007</v>
      </c>
    </row>
    <row r="63" spans="1:7" ht="36.75" customHeight="1" x14ac:dyDescent="0.3">
      <c r="B63" s="63" t="str">
        <f t="shared" si="5"/>
        <v>Giấy vệ sinh  Shera 2 lớp 12 cuộn có lõi 70g (phôi An Hòa)</v>
      </c>
      <c r="C63" s="112" t="s">
        <v>176</v>
      </c>
      <c r="D63" s="91" t="s">
        <v>99</v>
      </c>
      <c r="E63" s="8" t="str">
        <f>VLOOKUP(D63,'[2]Tong hop NVL'!$A$2:$B$131,2,0)</f>
        <v>kg</v>
      </c>
      <c r="F63" s="81">
        <v>0.86730000000000007</v>
      </c>
    </row>
    <row r="64" spans="1:7" ht="36.75" customHeight="1" x14ac:dyDescent="0.3">
      <c r="B64" s="63" t="str">
        <f t="shared" si="5"/>
        <v>Giấy vệ sinh  Shera 2 lớp 12 cuộn có lõi 70g (phôi An Hòa)</v>
      </c>
      <c r="C64" s="112" t="s">
        <v>176</v>
      </c>
      <c r="D64" s="91" t="s">
        <v>100</v>
      </c>
      <c r="E64" s="8" t="str">
        <f>VLOOKUP(D64,'[2]Tong hop NVL'!$A$2:$B$131,2,0)</f>
        <v>kg</v>
      </c>
      <c r="F64" s="81">
        <v>0.86730000000000007</v>
      </c>
    </row>
    <row r="65" spans="2:6" ht="36.75" customHeight="1" x14ac:dyDescent="0.3">
      <c r="B65" s="63" t="str">
        <f t="shared" si="5"/>
        <v>Giấy vệ sinh  Shera 2 lớp 12 cuộn có lõi 70g (phôi An Hòa)</v>
      </c>
      <c r="C65" s="112" t="s">
        <v>176</v>
      </c>
      <c r="D65" s="92" t="s">
        <v>101</v>
      </c>
      <c r="E65" s="8" t="str">
        <f>VLOOKUP(D65,'[2]Tong hop NVL'!$A$2:$B$131,2,0)</f>
        <v>kg</v>
      </c>
      <c r="F65" s="81">
        <v>0.86730000000000007</v>
      </c>
    </row>
    <row r="66" spans="2:6" ht="36.75" customHeight="1" x14ac:dyDescent="0.3">
      <c r="B66" s="63" t="str">
        <f t="shared" si="5"/>
        <v>Giấy vệ sinh  Shera 2 lớp 12 cuộn có lõi 70g (phôi An Hòa)</v>
      </c>
      <c r="C66" s="112" t="s">
        <v>176</v>
      </c>
      <c r="D66" s="91" t="s">
        <v>105</v>
      </c>
      <c r="E66" s="8" t="str">
        <f>VLOOKUP(D66,'[2]Tong hop NVL'!$A$2:$B$131,2,0)</f>
        <v>kg</v>
      </c>
      <c r="F66" s="81">
        <v>0.86730000000000007</v>
      </c>
    </row>
    <row r="67" spans="2:6" ht="36.75" customHeight="1" x14ac:dyDescent="0.3">
      <c r="B67" s="63" t="str">
        <f t="shared" si="5"/>
        <v>Giấy vệ sinh  Shera 2 lớp 12 cuộn có lõi 70g (phôi An Hòa)</v>
      </c>
      <c r="C67" s="112" t="s">
        <v>176</v>
      </c>
      <c r="D67" s="92" t="s">
        <v>143</v>
      </c>
      <c r="E67" s="8" t="str">
        <f>VLOOKUP(D67,'[2]Tong hop NVL'!$A$2:$B$131,2,0)</f>
        <v>Ống</v>
      </c>
      <c r="F67" s="81">
        <v>1.4420000000000001E-2</v>
      </c>
    </row>
    <row r="68" spans="2:6" ht="36.75" customHeight="1" x14ac:dyDescent="0.3">
      <c r="B68" s="63" t="str">
        <f t="shared" si="5"/>
        <v>Giấy vệ sinh  Shera 2 lớp 12 cuộn có lõi 70g (phôi An Hòa)</v>
      </c>
      <c r="C68" s="112" t="s">
        <v>176</v>
      </c>
      <c r="D68" s="91" t="s">
        <v>144</v>
      </c>
      <c r="E68" s="8" t="str">
        <f>VLOOKUP(D68,'[2]Tong hop NVL'!$A$2:$B$131,2,0)</f>
        <v>Ống</v>
      </c>
      <c r="F68" s="81">
        <v>1.4420000000000001E-2</v>
      </c>
    </row>
    <row r="69" spans="2:6" ht="36.75" customHeight="1" x14ac:dyDescent="0.3">
      <c r="B69" s="64" t="str">
        <f t="shared" si="5"/>
        <v>Giấy vệ sinh  Shera 2 lớp 12 cuộn có lõi 70g (phôi An Hòa)</v>
      </c>
      <c r="C69" s="112" t="s">
        <v>176</v>
      </c>
      <c r="D69" s="65" t="s">
        <v>53</v>
      </c>
      <c r="E69" s="8" t="str">
        <f>VLOOKUP(D69,'[2]Tong hop NVL'!$A$2:$B$131,2,0)</f>
        <v>kg</v>
      </c>
      <c r="F69" s="81">
        <v>5.1500000000000004E-2</v>
      </c>
    </row>
    <row r="70" spans="2:6" ht="27" customHeight="1" x14ac:dyDescent="0.3">
      <c r="B70" s="64" t="str">
        <f t="shared" si="5"/>
        <v>Giấy vệ sinh  Shera 2 lớp 12 cuộn có lõi 70g (phôi An Hòa)</v>
      </c>
      <c r="C70" s="112" t="s">
        <v>176</v>
      </c>
      <c r="D70" s="107" t="s">
        <v>127</v>
      </c>
      <c r="E70" s="8" t="str">
        <f>VLOOKUP(D70,'[2]Tong hop NVL'!$A$2:$B$131,2,0)</f>
        <v>kg</v>
      </c>
      <c r="F70" s="81">
        <v>1.133E-2</v>
      </c>
    </row>
    <row r="71" spans="2:6" ht="27" customHeight="1" x14ac:dyDescent="0.3">
      <c r="B71" s="13" t="str">
        <f t="shared" si="5"/>
        <v>Giấy vệ sinh  Shera 2 lớp 12 cuộn có lõi 70g (phôi An Hòa)</v>
      </c>
      <c r="C71" s="112" t="s">
        <v>176</v>
      </c>
      <c r="D71" s="91" t="s">
        <v>138</v>
      </c>
      <c r="E71" s="8" t="str">
        <f>VLOOKUP(D71,'[2]Tong hop NVL'!$A$2:$B$131,2,0)</f>
        <v>cuộn</v>
      </c>
      <c r="F71" s="82">
        <v>6.8244990303813842E-4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20CDD-60D6-403B-806D-2083774AE0D2}">
  <sheetPr codeName="Sheet3"/>
  <dimension ref="A1:A37"/>
  <sheetViews>
    <sheetView topLeftCell="A28" workbookViewId="0">
      <selection activeCell="H32" sqref="H32"/>
    </sheetView>
  </sheetViews>
  <sheetFormatPr defaultRowHeight="15" x14ac:dyDescent="0.25"/>
  <cols>
    <col min="1" max="1" width="98.7109375" customWidth="1"/>
  </cols>
  <sheetData>
    <row r="1" spans="1:1" ht="18.75" x14ac:dyDescent="0.25">
      <c r="A1" s="23" t="s">
        <v>54</v>
      </c>
    </row>
    <row r="2" spans="1:1" ht="18.75" x14ac:dyDescent="0.25">
      <c r="A2" s="23" t="s">
        <v>4</v>
      </c>
    </row>
    <row r="3" spans="1:1" ht="18.75" x14ac:dyDescent="0.25">
      <c r="A3" s="23" t="s">
        <v>5</v>
      </c>
    </row>
    <row r="4" spans="1:1" ht="18.75" x14ac:dyDescent="0.25">
      <c r="A4" s="23" t="s">
        <v>6</v>
      </c>
    </row>
    <row r="5" spans="1:1" ht="18.75" x14ac:dyDescent="0.25">
      <c r="A5" s="23" t="s">
        <v>7</v>
      </c>
    </row>
    <row r="6" spans="1:1" ht="18.75" x14ac:dyDescent="0.25">
      <c r="A6" s="63" t="s">
        <v>8</v>
      </c>
    </row>
    <row r="7" spans="1:1" ht="18.75" x14ac:dyDescent="0.25">
      <c r="A7" s="72" t="s">
        <v>0</v>
      </c>
    </row>
    <row r="8" spans="1:1" ht="18.75" x14ac:dyDescent="0.25">
      <c r="A8" s="72" t="s">
        <v>1</v>
      </c>
    </row>
    <row r="9" spans="1:1" ht="18.75" x14ac:dyDescent="0.25">
      <c r="A9" s="77" t="s">
        <v>2</v>
      </c>
    </row>
    <row r="10" spans="1:1" ht="18.75" x14ac:dyDescent="0.25">
      <c r="A10" s="67" t="s">
        <v>3</v>
      </c>
    </row>
    <row r="11" spans="1:1" ht="15" customHeight="1" x14ac:dyDescent="0.25">
      <c r="A11" s="23" t="s">
        <v>21</v>
      </c>
    </row>
    <row r="12" spans="1:1" ht="15" customHeight="1" x14ac:dyDescent="0.25">
      <c r="A12" s="23" t="s">
        <v>22</v>
      </c>
    </row>
    <row r="13" spans="1:1" ht="18.75" x14ac:dyDescent="0.3">
      <c r="A13" s="29" t="s">
        <v>27</v>
      </c>
    </row>
    <row r="14" spans="1:1" ht="18.75" x14ac:dyDescent="0.3">
      <c r="A14" s="29" t="s">
        <v>28</v>
      </c>
    </row>
    <row r="15" spans="1:1" ht="18.75" x14ac:dyDescent="0.25">
      <c r="A15" s="23" t="s">
        <v>24</v>
      </c>
    </row>
    <row r="16" spans="1:1" ht="18.75" x14ac:dyDescent="0.25">
      <c r="A16" s="23" t="s">
        <v>32</v>
      </c>
    </row>
    <row r="17" spans="1:1" ht="18.75" x14ac:dyDescent="0.25">
      <c r="A17" s="23" t="s">
        <v>33</v>
      </c>
    </row>
    <row r="18" spans="1:1" ht="18.75" x14ac:dyDescent="0.25">
      <c r="A18" s="23" t="s">
        <v>25</v>
      </c>
    </row>
    <row r="19" spans="1:1" ht="18.75" x14ac:dyDescent="0.25">
      <c r="A19" s="23" t="s">
        <v>26</v>
      </c>
    </row>
    <row r="20" spans="1:1" ht="18.75" x14ac:dyDescent="0.3">
      <c r="A20" s="36" t="s">
        <v>27</v>
      </c>
    </row>
    <row r="21" spans="1:1" ht="18.75" x14ac:dyDescent="0.25">
      <c r="A21" s="23" t="s">
        <v>28</v>
      </c>
    </row>
    <row r="22" spans="1:1" ht="18.75" x14ac:dyDescent="0.25">
      <c r="A22" s="23" t="s">
        <v>29</v>
      </c>
    </row>
    <row r="23" spans="1:1" ht="18.75" x14ac:dyDescent="0.25">
      <c r="A23" s="23" t="s">
        <v>30</v>
      </c>
    </row>
    <row r="24" spans="1:1" ht="18.75" x14ac:dyDescent="0.25">
      <c r="A24" s="23" t="s">
        <v>31</v>
      </c>
    </row>
    <row r="25" spans="1:1" ht="18.75" x14ac:dyDescent="0.25">
      <c r="A25" s="23" t="s">
        <v>48</v>
      </c>
    </row>
    <row r="26" spans="1:1" ht="18.75" x14ac:dyDescent="0.25">
      <c r="A26" s="23" t="s">
        <v>9</v>
      </c>
    </row>
    <row r="27" spans="1:1" ht="18.75" x14ac:dyDescent="0.25">
      <c r="A27" s="23" t="s">
        <v>10</v>
      </c>
    </row>
    <row r="28" spans="1:1" ht="18.75" x14ac:dyDescent="0.25">
      <c r="A28" s="23" t="s">
        <v>11</v>
      </c>
    </row>
    <row r="29" spans="1:1" ht="18.75" x14ac:dyDescent="0.3">
      <c r="A29" s="29" t="s">
        <v>49</v>
      </c>
    </row>
    <row r="30" spans="1:1" ht="18.75" x14ac:dyDescent="0.3">
      <c r="A30" s="29" t="s">
        <v>12</v>
      </c>
    </row>
    <row r="31" spans="1:1" ht="18.75" x14ac:dyDescent="0.25">
      <c r="A31" s="23" t="s">
        <v>13</v>
      </c>
    </row>
    <row r="32" spans="1:1" ht="18.75" x14ac:dyDescent="0.25">
      <c r="A32" s="23" t="s">
        <v>15</v>
      </c>
    </row>
    <row r="33" spans="1:1" ht="18.75" x14ac:dyDescent="0.25">
      <c r="A33" s="53" t="s">
        <v>16</v>
      </c>
    </row>
    <row r="34" spans="1:1" ht="18.75" x14ac:dyDescent="0.25">
      <c r="A34" s="53" t="s">
        <v>90</v>
      </c>
    </row>
    <row r="35" spans="1:1" ht="21" x14ac:dyDescent="0.25">
      <c r="A35" s="56" t="s">
        <v>18</v>
      </c>
    </row>
    <row r="36" spans="1:1" ht="21" x14ac:dyDescent="0.25">
      <c r="A36" s="56" t="s">
        <v>19</v>
      </c>
    </row>
    <row r="37" spans="1:1" ht="21" x14ac:dyDescent="0.25">
      <c r="A37" s="56" t="s">
        <v>70</v>
      </c>
    </row>
  </sheetData>
  <conditionalFormatting sqref="A29">
    <cfRule type="expression" dxfId="1" priority="1">
      <formula>COUNTIFS($Q$3:$Q$351, #REF!, $S$3:$S$351, #REF!, $T$3:$T59, #REF!) &gt; 1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125D-4092-4F5F-B78C-A48367E4920D}">
  <sheetPr codeName="Sheet4"/>
  <dimension ref="A1:F20"/>
  <sheetViews>
    <sheetView topLeftCell="A7" workbookViewId="0">
      <selection activeCell="B5" sqref="B5:F20"/>
    </sheetView>
  </sheetViews>
  <sheetFormatPr defaultColWidth="9" defaultRowHeight="18.75" x14ac:dyDescent="0.3"/>
  <cols>
    <col min="1" max="1" width="9" style="27"/>
    <col min="2" max="2" width="50.7109375" style="27" bestFit="1" customWidth="1"/>
    <col min="3" max="3" width="50.7109375" style="27" customWidth="1"/>
    <col min="4" max="4" width="50.7109375" style="32" customWidth="1"/>
    <col min="5" max="5" width="24.5703125" style="27" bestFit="1" customWidth="1"/>
    <col min="6" max="6" width="9" style="86"/>
    <col min="7" max="16384" width="9" style="27"/>
  </cols>
  <sheetData>
    <row r="1" spans="1:6" x14ac:dyDescent="0.3">
      <c r="B1" s="98" t="e">
        <f>#REF!</f>
        <v>#REF!</v>
      </c>
      <c r="C1" s="98"/>
      <c r="D1" s="98"/>
      <c r="E1" s="98"/>
    </row>
    <row r="2" spans="1:6" x14ac:dyDescent="0.3">
      <c r="B2" s="5" t="e">
        <f>B1</f>
        <v>#REF!</v>
      </c>
      <c r="C2" s="5"/>
      <c r="D2" s="22"/>
      <c r="E2" s="5"/>
    </row>
    <row r="3" spans="1:6" ht="56.25" customHeight="1" x14ac:dyDescent="0.3">
      <c r="B3" s="6" t="s">
        <v>39</v>
      </c>
      <c r="C3" s="6"/>
      <c r="D3" s="24" t="s">
        <v>34</v>
      </c>
      <c r="E3" s="7" t="s">
        <v>40</v>
      </c>
      <c r="F3" s="40" t="s">
        <v>71</v>
      </c>
    </row>
    <row r="4" spans="1:6" ht="56.25" customHeight="1" x14ac:dyDescent="0.3">
      <c r="B4" s="89" t="str">
        <f>B3</f>
        <v>Tên sản phẩm</v>
      </c>
      <c r="C4" s="113"/>
      <c r="E4" s="15"/>
      <c r="F4" s="87"/>
    </row>
    <row r="5" spans="1:6" ht="36.75" customHeight="1" x14ac:dyDescent="0.3">
      <c r="A5" s="27">
        <v>12</v>
      </c>
      <c r="B5" s="94" t="s">
        <v>21</v>
      </c>
      <c r="C5" s="110" t="s">
        <v>177</v>
      </c>
      <c r="D5" s="91" t="s">
        <v>110</v>
      </c>
      <c r="E5" s="90" t="str">
        <f>VLOOKUP(D5,'[2]Tong hop NVL'!$A$2:$B$131,2,0)</f>
        <v>kg</v>
      </c>
      <c r="F5" s="87">
        <v>0.49349999999999999</v>
      </c>
    </row>
    <row r="6" spans="1:6" ht="36.75" customHeight="1" x14ac:dyDescent="0.3">
      <c r="B6" s="94" t="str">
        <f>B5</f>
        <v>Khăn rút đáy đa năng 4 lớp 320 tờ khổ 155x175mm</v>
      </c>
      <c r="C6" s="110" t="s">
        <v>177</v>
      </c>
      <c r="D6" s="91" t="s">
        <v>111</v>
      </c>
      <c r="E6" s="90" t="str">
        <f>VLOOKUP(D6,'[2]Tong hop NVL'!$A$2:$B$131,2,0)</f>
        <v>kg</v>
      </c>
      <c r="F6" s="87">
        <v>0.49349999999999999</v>
      </c>
    </row>
    <row r="7" spans="1:6" ht="36.75" customHeight="1" x14ac:dyDescent="0.3">
      <c r="B7" s="94" t="str">
        <f t="shared" ref="B7:B12" si="0">B6</f>
        <v>Khăn rút đáy đa năng 4 lớp 320 tờ khổ 155x175mm</v>
      </c>
      <c r="C7" s="110" t="s">
        <v>177</v>
      </c>
      <c r="D7" s="92" t="s">
        <v>112</v>
      </c>
      <c r="E7" s="90" t="str">
        <f>VLOOKUP(D7,'[2]Tong hop NVL'!$A$2:$B$131,2,0)</f>
        <v>kg</v>
      </c>
      <c r="F7" s="87">
        <v>0.49349999999999999</v>
      </c>
    </row>
    <row r="8" spans="1:6" ht="36.75" customHeight="1" x14ac:dyDescent="0.3">
      <c r="B8" s="94" t="str">
        <f t="shared" si="0"/>
        <v>Khăn rút đáy đa năng 4 lớp 320 tờ khổ 155x175mm</v>
      </c>
      <c r="C8" s="110" t="s">
        <v>177</v>
      </c>
      <c r="D8" s="21" t="s">
        <v>65</v>
      </c>
      <c r="E8" s="90" t="str">
        <f>VLOOKUP(D8,'[2]Tong hop NVL'!$A$2:$B$131,2,0)</f>
        <v>kg</v>
      </c>
      <c r="F8" s="87">
        <v>1.1976744186046513E-2</v>
      </c>
    </row>
    <row r="9" spans="1:6" ht="36.75" customHeight="1" x14ac:dyDescent="0.3">
      <c r="B9" s="94" t="str">
        <f t="shared" si="0"/>
        <v>Khăn rút đáy đa năng 4 lớp 320 tờ khổ 155x175mm</v>
      </c>
      <c r="C9" s="110" t="s">
        <v>177</v>
      </c>
      <c r="D9" s="21" t="s">
        <v>43</v>
      </c>
      <c r="E9" s="90" t="str">
        <f>VLOOKUP(D9,'[2]Tong hop NVL'!$A$2:$B$131,2,0)</f>
        <v>cái</v>
      </c>
      <c r="F9" s="87">
        <v>8.5833333333333331E-2</v>
      </c>
    </row>
    <row r="10" spans="1:6" ht="36.75" customHeight="1" x14ac:dyDescent="0.3">
      <c r="B10" s="94" t="str">
        <f t="shared" si="0"/>
        <v>Khăn rút đáy đa năng 4 lớp 320 tờ khổ 155x175mm</v>
      </c>
      <c r="C10" s="110" t="s">
        <v>177</v>
      </c>
      <c r="D10" s="51" t="s">
        <v>146</v>
      </c>
      <c r="E10" s="90" t="str">
        <f>VLOOKUP(D10,'[2]Tong hop NVL'!$A$2:$B$131,2,0)</f>
        <v>cái</v>
      </c>
      <c r="F10" s="87">
        <v>4.2916666666666665E-2</v>
      </c>
    </row>
    <row r="11" spans="1:6" ht="36.75" customHeight="1" x14ac:dyDescent="0.3">
      <c r="B11" s="94" t="str">
        <f t="shared" si="0"/>
        <v>Khăn rút đáy đa năng 4 lớp 320 tờ khổ 155x175mm</v>
      </c>
      <c r="C11" s="110" t="s">
        <v>177</v>
      </c>
      <c r="D11" s="25" t="s">
        <v>138</v>
      </c>
      <c r="E11" s="90" t="str">
        <f>VLOOKUP(D11,'[2]Tong hop NVL'!$A$2:$B$131,2,0)</f>
        <v>cuộn</v>
      </c>
      <c r="F11" s="87">
        <v>1.036953242835594E-3</v>
      </c>
    </row>
    <row r="12" spans="1:6" ht="36.75" customHeight="1" x14ac:dyDescent="0.3">
      <c r="B12" s="94" t="str">
        <f t="shared" si="0"/>
        <v>Khăn rút đáy đa năng 4 lớp 320 tờ khổ 155x175mm</v>
      </c>
      <c r="C12" s="110" t="s">
        <v>177</v>
      </c>
      <c r="D12" s="97" t="s">
        <v>148</v>
      </c>
      <c r="E12" s="90" t="str">
        <f>VLOOKUP(D12,'[2]Tong hop NVL'!$A$2:$B$131,2,0)</f>
        <v>cái</v>
      </c>
      <c r="F12" s="87">
        <v>0.16666666666666666</v>
      </c>
    </row>
    <row r="13" spans="1:6" ht="36.75" customHeight="1" x14ac:dyDescent="0.3">
      <c r="A13" s="27">
        <v>13</v>
      </c>
      <c r="B13" s="94" t="s">
        <v>22</v>
      </c>
      <c r="C13" s="110" t="s">
        <v>177</v>
      </c>
      <c r="D13" s="91" t="s">
        <v>110</v>
      </c>
      <c r="E13" s="90" t="str">
        <f>VLOOKUP(D13,'[2]Tong hop NVL'!$A$2:$B$131,2,0)</f>
        <v>kg</v>
      </c>
      <c r="F13" s="87">
        <v>0.49349999999999999</v>
      </c>
    </row>
    <row r="14" spans="1:6" ht="36.75" customHeight="1" x14ac:dyDescent="0.3">
      <c r="B14" s="94" t="str">
        <f t="shared" ref="B14:B20" si="1">B13</f>
        <v>Giấy vệ sinh Shelton rút đáy 4lớp 320 tờ khổ 155x175mm</v>
      </c>
      <c r="C14" s="110" t="s">
        <v>177</v>
      </c>
      <c r="D14" s="91" t="s">
        <v>111</v>
      </c>
      <c r="E14" s="90" t="str">
        <f>VLOOKUP(D14,'[2]Tong hop NVL'!$A$2:$B$131,2,0)</f>
        <v>kg</v>
      </c>
      <c r="F14" s="87">
        <v>0.49349999999999999</v>
      </c>
    </row>
    <row r="15" spans="1:6" ht="36.75" customHeight="1" x14ac:dyDescent="0.3">
      <c r="B15" s="94" t="str">
        <f t="shared" si="1"/>
        <v>Giấy vệ sinh Shelton rút đáy 4lớp 320 tờ khổ 155x175mm</v>
      </c>
      <c r="C15" s="110" t="s">
        <v>177</v>
      </c>
      <c r="D15" s="92" t="s">
        <v>112</v>
      </c>
      <c r="E15" s="90" t="str">
        <f>VLOOKUP(D15,'[2]Tong hop NVL'!$A$2:$B$131,2,0)</f>
        <v>kg</v>
      </c>
      <c r="F15" s="87">
        <v>0.49349999999999999</v>
      </c>
    </row>
    <row r="16" spans="1:6" ht="36.75" customHeight="1" x14ac:dyDescent="0.3">
      <c r="B16" s="94" t="str">
        <f t="shared" si="1"/>
        <v>Giấy vệ sinh Shelton rút đáy 4lớp 320 tờ khổ 155x175mm</v>
      </c>
      <c r="C16" s="110" t="s">
        <v>177</v>
      </c>
      <c r="D16" s="21" t="s">
        <v>66</v>
      </c>
      <c r="E16" s="90" t="str">
        <f>VLOOKUP(D16,'[2]Tong hop NVL'!$A$2:$B$131,2,0)</f>
        <v>kg</v>
      </c>
      <c r="F16" s="87">
        <v>1.1976744186046513E-2</v>
      </c>
    </row>
    <row r="17" spans="2:6" ht="36.75" customHeight="1" x14ac:dyDescent="0.3">
      <c r="B17" s="94" t="str">
        <f t="shared" si="1"/>
        <v>Giấy vệ sinh Shelton rút đáy 4lớp 320 tờ khổ 155x175mm</v>
      </c>
      <c r="C17" s="110" t="s">
        <v>177</v>
      </c>
      <c r="D17" s="21" t="s">
        <v>145</v>
      </c>
      <c r="E17" s="90" t="str">
        <f>VLOOKUP(D17,'[2]Tong hop NVL'!$A$2:$B$131,2,0)</f>
        <v>cái</v>
      </c>
      <c r="F17" s="87">
        <v>8.5833333333333331E-2</v>
      </c>
    </row>
    <row r="18" spans="2:6" ht="36.75" customHeight="1" x14ac:dyDescent="0.3">
      <c r="B18" s="94" t="str">
        <f t="shared" si="1"/>
        <v>Giấy vệ sinh Shelton rút đáy 4lớp 320 tờ khổ 155x175mm</v>
      </c>
      <c r="C18" s="110" t="s">
        <v>177</v>
      </c>
      <c r="D18" s="21" t="s">
        <v>147</v>
      </c>
      <c r="E18" s="90" t="str">
        <f>VLOOKUP(D18,'[2]Tong hop NVL'!$A$2:$B$131,2,0)</f>
        <v>cái</v>
      </c>
      <c r="F18" s="87">
        <v>4.2916666666666665E-2</v>
      </c>
    </row>
    <row r="19" spans="2:6" ht="36.75" customHeight="1" x14ac:dyDescent="0.3">
      <c r="B19" s="94" t="str">
        <f t="shared" si="1"/>
        <v>Giấy vệ sinh Shelton rút đáy 4lớp 320 tờ khổ 155x175mm</v>
      </c>
      <c r="C19" s="110" t="s">
        <v>177</v>
      </c>
      <c r="D19" s="25" t="s">
        <v>138</v>
      </c>
      <c r="E19" s="90" t="str">
        <f>VLOOKUP(D19,'[2]Tong hop NVL'!$A$2:$B$131,2,0)</f>
        <v>cuộn</v>
      </c>
      <c r="F19" s="87">
        <v>1.036953242835594E-3</v>
      </c>
    </row>
    <row r="20" spans="2:6" ht="36.75" customHeight="1" x14ac:dyDescent="0.3">
      <c r="B20" s="94" t="str">
        <f t="shared" si="1"/>
        <v>Giấy vệ sinh Shelton rút đáy 4lớp 320 tờ khổ 155x175mm</v>
      </c>
      <c r="C20" s="110" t="s">
        <v>177</v>
      </c>
      <c r="D20" s="97" t="s">
        <v>148</v>
      </c>
      <c r="E20" s="90" t="str">
        <f>VLOOKUP(D20,'[2]Tong hop NVL'!$A$2:$B$131,2,0)</f>
        <v>cái</v>
      </c>
      <c r="F20" s="87">
        <v>0.16666666666666666</v>
      </c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55DC-AC66-4B6D-98C4-CC665725D6B0}">
  <sheetPr codeName="Sheet5"/>
  <dimension ref="A1:I56"/>
  <sheetViews>
    <sheetView tabSelected="1" topLeftCell="A4" workbookViewId="0">
      <selection activeCell="D8" sqref="D8"/>
    </sheetView>
  </sheetViews>
  <sheetFormatPr defaultColWidth="9" defaultRowHeight="61.5" customHeight="1" x14ac:dyDescent="0.3"/>
  <cols>
    <col min="1" max="1" width="14.7109375" style="5" customWidth="1"/>
    <col min="2" max="3" width="55.140625" style="5" customWidth="1"/>
    <col min="4" max="5" width="52.28515625" style="22" customWidth="1"/>
    <col min="6" max="6" width="14.140625" style="5" customWidth="1"/>
    <col min="7" max="7" width="14.140625" style="5" bestFit="1" customWidth="1"/>
    <col min="8" max="16384" width="9" style="5"/>
  </cols>
  <sheetData>
    <row r="1" spans="1:8" ht="61.5" customHeight="1" x14ac:dyDescent="0.3">
      <c r="B1" s="5" t="e">
        <f>#REF!</f>
        <v>#REF!</v>
      </c>
    </row>
    <row r="2" spans="1:8" ht="61.5" customHeight="1" x14ac:dyDescent="0.3">
      <c r="B2" s="5" t="e">
        <f>B1</f>
        <v>#REF!</v>
      </c>
    </row>
    <row r="3" spans="1:8" ht="61.5" customHeight="1" x14ac:dyDescent="0.3">
      <c r="A3" s="33" t="s">
        <v>42</v>
      </c>
      <c r="B3" s="34" t="s">
        <v>39</v>
      </c>
      <c r="C3" s="34"/>
      <c r="D3" s="35" t="s">
        <v>34</v>
      </c>
      <c r="E3" s="35"/>
      <c r="F3" s="42" t="s">
        <v>71</v>
      </c>
    </row>
    <row r="4" spans="1:8" ht="30.75" customHeight="1" x14ac:dyDescent="0.3">
      <c r="A4" s="11" t="s">
        <v>23</v>
      </c>
      <c r="B4" s="11" t="str">
        <f>B3</f>
        <v>Tên sản phẩm</v>
      </c>
      <c r="C4" s="11"/>
      <c r="D4" s="41"/>
      <c r="E4" s="41"/>
      <c r="F4" s="8"/>
    </row>
    <row r="5" spans="1:8" ht="30.75" customHeight="1" x14ac:dyDescent="0.3">
      <c r="A5" s="5">
        <v>1</v>
      </c>
      <c r="B5" s="29" t="s">
        <v>27</v>
      </c>
      <c r="C5" s="114" t="s">
        <v>181</v>
      </c>
      <c r="D5" s="92" t="s">
        <v>114</v>
      </c>
      <c r="E5" s="111" t="str">
        <f>VLOOKUP(D5,'[2]Tong hop NVL'!$A$2:$B$131,2,0)</f>
        <v>kg</v>
      </c>
      <c r="F5" s="8">
        <v>0.1134</v>
      </c>
    </row>
    <row r="6" spans="1:8" ht="30.75" customHeight="1" x14ac:dyDescent="0.3">
      <c r="B6" s="12" t="str">
        <f>B5</f>
        <v>Hộp Shelton 120 tờ 2 lớp Lá xanh khổ 195*175</v>
      </c>
      <c r="C6" s="114" t="s">
        <v>181</v>
      </c>
      <c r="D6" s="21" t="s">
        <v>44</v>
      </c>
      <c r="E6" s="111" t="str">
        <f>VLOOKUP(D6,'[2]Tong hop NVL'!$A$2:$B$131,2,0)</f>
        <v>cái</v>
      </c>
      <c r="F6" s="8">
        <v>1.03</v>
      </c>
    </row>
    <row r="7" spans="1:8" ht="30.75" customHeight="1" x14ac:dyDescent="0.3">
      <c r="B7" s="12" t="str">
        <f t="shared" ref="B7:B9" si="0">B6</f>
        <v>Hộp Shelton 120 tờ 2 lớp Lá xanh khổ 195*175</v>
      </c>
      <c r="C7" s="114" t="s">
        <v>181</v>
      </c>
      <c r="D7" s="21" t="s">
        <v>58</v>
      </c>
      <c r="E7" s="111" t="str">
        <f>VLOOKUP(D7,'[2]Tong hop NVL'!$A$2:$B$131,2,0)</f>
        <v>kg</v>
      </c>
      <c r="F7" s="8">
        <v>3.7728937728937735E-3</v>
      </c>
    </row>
    <row r="8" spans="1:8" ht="30.75" customHeight="1" x14ac:dyDescent="0.3">
      <c r="B8" s="12" t="str">
        <f t="shared" si="0"/>
        <v>Hộp Shelton 120 tờ 2 lớp Lá xanh khổ 195*175</v>
      </c>
      <c r="C8" s="114" t="s">
        <v>181</v>
      </c>
      <c r="D8" s="107" t="s">
        <v>185</v>
      </c>
      <c r="E8" s="111" t="str">
        <f>VLOOKUP(D8,'[2]Tong hop NVL'!$A$2:$B$131,2,0)</f>
        <v>cái</v>
      </c>
      <c r="F8" s="8">
        <v>1.7166666666666667E-2</v>
      </c>
    </row>
    <row r="9" spans="1:8" ht="30.75" customHeight="1" x14ac:dyDescent="0.3">
      <c r="B9" s="12" t="str">
        <f t="shared" si="0"/>
        <v>Hộp Shelton 120 tờ 2 lớp Lá xanh khổ 195*175</v>
      </c>
      <c r="C9" s="114" t="s">
        <v>181</v>
      </c>
      <c r="D9" s="97" t="s">
        <v>138</v>
      </c>
      <c r="E9" s="111" t="str">
        <f>VLOOKUP(D9,'[2]Tong hop NVL'!$A$2:$B$131,2,0)</f>
        <v>cuộn</v>
      </c>
      <c r="F9" s="8">
        <v>2.6077354018530491E-4</v>
      </c>
    </row>
    <row r="10" spans="1:8" ht="30.75" customHeight="1" x14ac:dyDescent="0.3">
      <c r="A10" s="5">
        <v>2</v>
      </c>
      <c r="B10" s="29" t="s">
        <v>28</v>
      </c>
      <c r="C10" s="114" t="s">
        <v>181</v>
      </c>
      <c r="D10" s="92" t="s">
        <v>114</v>
      </c>
      <c r="E10" s="111" t="str">
        <f>VLOOKUP(D10,'[2]Tong hop NVL'!$A$2:$B$131,2,0)</f>
        <v>kg</v>
      </c>
      <c r="F10" s="8">
        <v>0.1134</v>
      </c>
    </row>
    <row r="11" spans="1:8" ht="30.75" customHeight="1" x14ac:dyDescent="0.3">
      <c r="B11" s="12" t="str">
        <f t="shared" ref="B11:B14" si="1">B10</f>
        <v xml:space="preserve">Hộp Shelton 120 tờ 2 lớp trắng trơn khổ 195x175mm </v>
      </c>
      <c r="C11" s="114" t="s">
        <v>181</v>
      </c>
      <c r="D11" s="21" t="s">
        <v>50</v>
      </c>
      <c r="E11" s="111" t="str">
        <f>VLOOKUP(D11,'[2]Tong hop NVL'!$A$2:$B$131,2,0)</f>
        <v>cái</v>
      </c>
      <c r="F11" s="8">
        <v>1.03</v>
      </c>
    </row>
    <row r="12" spans="1:8" ht="30.75" customHeight="1" x14ac:dyDescent="0.3">
      <c r="B12" s="12" t="str">
        <f t="shared" si="1"/>
        <v xml:space="preserve">Hộp Shelton 120 tờ 2 lớp trắng trơn khổ 195x175mm </v>
      </c>
      <c r="C12" s="114" t="s">
        <v>181</v>
      </c>
      <c r="D12" s="21" t="s">
        <v>58</v>
      </c>
      <c r="E12" s="111" t="str">
        <f>VLOOKUP(D12,'[2]Tong hop NVL'!$A$2:$B$131,2,0)</f>
        <v>kg</v>
      </c>
      <c r="F12" s="8">
        <v>3.7728937728937735E-3</v>
      </c>
    </row>
    <row r="13" spans="1:8" ht="30.75" customHeight="1" x14ac:dyDescent="0.3">
      <c r="B13" s="12" t="str">
        <f t="shared" si="1"/>
        <v xml:space="preserve">Hộp Shelton 120 tờ 2 lớp trắng trơn khổ 195x175mm </v>
      </c>
      <c r="C13" s="114" t="s">
        <v>181</v>
      </c>
      <c r="D13" s="107" t="s">
        <v>185</v>
      </c>
      <c r="E13" s="111" t="str">
        <f>VLOOKUP(D13,'[2]Tong hop NVL'!$A$2:$B$131,2,0)</f>
        <v>cái</v>
      </c>
      <c r="F13" s="8">
        <v>1.7166666666666667E-2</v>
      </c>
    </row>
    <row r="14" spans="1:8" ht="30.75" customHeight="1" x14ac:dyDescent="0.3">
      <c r="B14" s="12" t="str">
        <f t="shared" si="1"/>
        <v xml:space="preserve">Hộp Shelton 120 tờ 2 lớp trắng trơn khổ 195x175mm </v>
      </c>
      <c r="C14" s="114" t="s">
        <v>181</v>
      </c>
      <c r="D14" s="97" t="s">
        <v>138</v>
      </c>
      <c r="E14" s="111" t="str">
        <f>VLOOKUP(D14,'[2]Tong hop NVL'!$A$2:$B$131,2,0)</f>
        <v>cuộn</v>
      </c>
      <c r="F14" s="8">
        <v>2.6077354018530491E-4</v>
      </c>
    </row>
    <row r="15" spans="1:8" ht="30.75" customHeight="1" x14ac:dyDescent="0.3">
      <c r="A15" s="5">
        <v>3</v>
      </c>
      <c r="B15" s="23" t="s">
        <v>24</v>
      </c>
      <c r="C15" s="112" t="s">
        <v>182</v>
      </c>
      <c r="D15" s="92" t="s">
        <v>114</v>
      </c>
      <c r="E15" s="111" t="str">
        <f>VLOOKUP(D15,'[2]Tong hop NVL'!$A$2:$B$131,2,0)</f>
        <v>kg</v>
      </c>
      <c r="F15" s="8">
        <v>0.2205</v>
      </c>
    </row>
    <row r="16" spans="1:8" ht="30.75" customHeight="1" x14ac:dyDescent="0.3">
      <c r="B16" s="12" t="str">
        <f t="shared" ref="B16:B19" si="2">B15</f>
        <v>Khăn Soft pack Shelton Hoa văn tròn 250 tờ 2 lớp khổ 175x175mm</v>
      </c>
      <c r="C16" s="112" t="s">
        <v>182</v>
      </c>
      <c r="D16" s="21" t="s">
        <v>179</v>
      </c>
      <c r="E16" s="111" t="str">
        <f>VLOOKUP(D16,'[2]Tong hop NVL'!$A$2:$B$131,2,0)</f>
        <v>kg</v>
      </c>
      <c r="F16" s="8">
        <v>4.5575221238938054E-3</v>
      </c>
      <c r="H16" s="5">
        <f>+G16*F16</f>
        <v>0</v>
      </c>
    </row>
    <row r="17" spans="1:9" ht="30.75" customHeight="1" x14ac:dyDescent="0.3">
      <c r="B17" s="12" t="str">
        <f t="shared" si="2"/>
        <v>Khăn Soft pack Shelton Hoa văn tròn 250 tờ 2 lớp khổ 175x175mm</v>
      </c>
      <c r="C17" s="112" t="s">
        <v>182</v>
      </c>
      <c r="D17" s="51" t="s">
        <v>150</v>
      </c>
      <c r="E17" s="111" t="str">
        <f>VLOOKUP(D17,'[2]Tong hop NVL'!$A$2:$B$131,2,0)</f>
        <v>cái</v>
      </c>
      <c r="F17" s="8">
        <v>1.7166666666666667E-2</v>
      </c>
    </row>
    <row r="18" spans="1:9" ht="30.75" customHeight="1" x14ac:dyDescent="0.3">
      <c r="B18" s="12" t="str">
        <f t="shared" si="2"/>
        <v>Khăn Soft pack Shelton Hoa văn tròn 250 tờ 2 lớp khổ 175x175mm</v>
      </c>
      <c r="C18" s="112" t="s">
        <v>182</v>
      </c>
      <c r="D18" s="51" t="s">
        <v>151</v>
      </c>
      <c r="E18" s="111" t="str">
        <f>VLOOKUP(D18,'[2]Tong hop NVL'!$A$2:$B$131,2,0)</f>
        <v>cái</v>
      </c>
      <c r="F18" s="8">
        <v>5.7222222222222223E-2</v>
      </c>
    </row>
    <row r="19" spans="1:9" ht="30.75" customHeight="1" x14ac:dyDescent="0.3">
      <c r="B19" s="12" t="str">
        <f t="shared" si="2"/>
        <v>Khăn Soft pack Shelton Hoa văn tròn 250 tờ 2 lớp khổ 175x175mm</v>
      </c>
      <c r="C19" s="112" t="s">
        <v>182</v>
      </c>
      <c r="D19" s="97" t="s">
        <v>138</v>
      </c>
      <c r="E19" s="111" t="str">
        <f>VLOOKUP(D19,'[2]Tong hop NVL'!$A$2:$B$131,2,0)</f>
        <v>cuộn</v>
      </c>
      <c r="F19" s="8">
        <v>2.2378438554909142E-4</v>
      </c>
      <c r="H19" s="5">
        <f>224/60</f>
        <v>3.7333333333333334</v>
      </c>
      <c r="I19" s="5">
        <f>+H19/18564</f>
        <v>2.0110608345902463E-4</v>
      </c>
    </row>
    <row r="20" spans="1:9" ht="38.25" customHeight="1" x14ac:dyDescent="0.3">
      <c r="A20" s="5">
        <v>4</v>
      </c>
      <c r="B20" s="23" t="s">
        <v>32</v>
      </c>
      <c r="C20" s="112" t="s">
        <v>182</v>
      </c>
      <c r="D20" s="92" t="s">
        <v>113</v>
      </c>
      <c r="E20" s="111" t="str">
        <f>VLOOKUP(D20,'[2]Tong hop NVL'!$A$2:$B$131,2,0)</f>
        <v>kg</v>
      </c>
      <c r="F20" s="8">
        <v>8.7465000000000001E-2</v>
      </c>
    </row>
    <row r="21" spans="1:9" ht="30.75" customHeight="1" x14ac:dyDescent="0.3">
      <c r="B21" s="12" t="str">
        <f t="shared" ref="B21:B25" si="3">B20</f>
        <v>Khăn Soft pack Shelton Hoa văn tròn 100 tờ 3 lớp khổ 115x175mm</v>
      </c>
      <c r="C21" s="112" t="s">
        <v>182</v>
      </c>
      <c r="D21" s="21" t="s">
        <v>59</v>
      </c>
      <c r="E21" s="111" t="str">
        <f>VLOOKUP(D21,'[2]Tong hop NVL'!$A$2:$B$131,2,0)</f>
        <v>kg</v>
      </c>
      <c r="F21" s="8">
        <v>2.6075949367088611E-3</v>
      </c>
    </row>
    <row r="22" spans="1:9" ht="30.75" customHeight="1" x14ac:dyDescent="0.3">
      <c r="B22" s="12" t="str">
        <f t="shared" si="3"/>
        <v>Khăn Soft pack Shelton Hoa văn tròn 100 tờ 3 lớp khổ 115x175mm</v>
      </c>
      <c r="C22" s="112" t="s">
        <v>182</v>
      </c>
      <c r="D22" s="21" t="s">
        <v>60</v>
      </c>
      <c r="E22" s="111" t="str">
        <f>VLOOKUP(D22,'[2]Tong hop NVL'!$A$2:$B$131,2,0)</f>
        <v>kg</v>
      </c>
      <c r="F22" s="8">
        <v>1.3205128205128205E-3</v>
      </c>
    </row>
    <row r="23" spans="1:9" ht="30.75" customHeight="1" x14ac:dyDescent="0.3">
      <c r="B23" s="12" t="str">
        <f t="shared" si="3"/>
        <v>Khăn Soft pack Shelton Hoa văn tròn 100 tờ 3 lớp khổ 115x175mm</v>
      </c>
      <c r="C23" s="112" t="s">
        <v>182</v>
      </c>
      <c r="D23" s="21" t="s">
        <v>61</v>
      </c>
      <c r="E23" s="111" t="str">
        <f>VLOOKUP(D23,'[2]Tong hop NVL'!$A$2:$B$131,2,0)</f>
        <v>cái</v>
      </c>
      <c r="F23" s="8">
        <v>1.03E-2</v>
      </c>
    </row>
    <row r="24" spans="1:9" ht="30.75" customHeight="1" x14ac:dyDescent="0.3">
      <c r="B24" s="12" t="str">
        <f t="shared" si="3"/>
        <v>Khăn Soft pack Shelton Hoa văn tròn 100 tờ 3 lớp khổ 115x175mm</v>
      </c>
      <c r="C24" s="112" t="s">
        <v>182</v>
      </c>
      <c r="D24" s="51" t="s">
        <v>178</v>
      </c>
      <c r="E24" s="111" t="str">
        <f>VLOOKUP(D24,'[2]Tong hop NVL'!$A$2:$B$131,2,0)</f>
        <v>cái</v>
      </c>
      <c r="F24" s="8">
        <v>2.5750000000000002E-2</v>
      </c>
    </row>
    <row r="25" spans="1:9" ht="30.75" customHeight="1" x14ac:dyDescent="0.3">
      <c r="B25" s="12" t="str">
        <f t="shared" si="3"/>
        <v>Khăn Soft pack Shelton Hoa văn tròn 100 tờ 3 lớp khổ 115x175mm</v>
      </c>
      <c r="C25" s="112" t="s">
        <v>182</v>
      </c>
      <c r="D25" s="97" t="s">
        <v>138</v>
      </c>
      <c r="E25" s="111" t="str">
        <f>VLOOKUP(D25,'[2]Tong hop NVL'!$A$2:$B$131,2,0)</f>
        <v>cuộn</v>
      </c>
      <c r="F25" s="8">
        <v>1.7509999999999999</v>
      </c>
      <c r="G25" s="26">
        <f>1.7/18564</f>
        <v>9.1575091575091575E-5</v>
      </c>
    </row>
    <row r="26" spans="1:9" ht="30.75" customHeight="1" x14ac:dyDescent="0.3">
      <c r="A26" s="5">
        <v>5</v>
      </c>
      <c r="B26" s="23" t="s">
        <v>33</v>
      </c>
      <c r="C26" s="112" t="s">
        <v>182</v>
      </c>
      <c r="D26" s="91" t="s">
        <v>114</v>
      </c>
      <c r="E26" s="111" t="str">
        <f>VLOOKUP(D26,'[2]Tong hop NVL'!$A$2:$B$131,2,0)</f>
        <v>kg</v>
      </c>
      <c r="F26" s="8">
        <v>0.11235000000000001</v>
      </c>
    </row>
    <row r="27" spans="1:9" ht="30.75" customHeight="1" x14ac:dyDescent="0.3">
      <c r="B27" s="12" t="str">
        <f t="shared" ref="B27:B30" si="4">B26</f>
        <v>Khăn Soft pack Shelton Hoa văn tròn 100 tờ 4 lớp khổ 115x175mm</v>
      </c>
      <c r="C27" s="112" t="s">
        <v>182</v>
      </c>
      <c r="D27" s="21" t="s">
        <v>149</v>
      </c>
      <c r="E27" s="111" t="str">
        <f>VLOOKUP(D27,'[2]Tong hop NVL'!$A$2:$B$131,2,0)</f>
        <v>cái</v>
      </c>
      <c r="F27" s="8">
        <v>1.03E-2</v>
      </c>
    </row>
    <row r="28" spans="1:9" ht="30.75" customHeight="1" x14ac:dyDescent="0.3">
      <c r="B28" s="12" t="str">
        <f t="shared" si="4"/>
        <v>Khăn Soft pack Shelton Hoa văn tròn 100 tờ 4 lớp khổ 115x175mm</v>
      </c>
      <c r="C28" s="112" t="s">
        <v>182</v>
      </c>
      <c r="D28" s="21" t="s">
        <v>62</v>
      </c>
      <c r="E28" s="111" t="str">
        <f>VLOOKUP(D28,'[2]Tong hop NVL'!$A$2:$B$131,2,0)</f>
        <v>kg</v>
      </c>
      <c r="F28" s="8">
        <v>2.3174999999999997E-3</v>
      </c>
    </row>
    <row r="29" spans="1:9" ht="30.75" customHeight="1" x14ac:dyDescent="0.3">
      <c r="B29" s="12" t="str">
        <f t="shared" si="4"/>
        <v>Khăn Soft pack Shelton Hoa văn tròn 100 tờ 4 lớp khổ 115x175mm</v>
      </c>
      <c r="C29" s="112" t="s">
        <v>182</v>
      </c>
      <c r="D29" s="21" t="s">
        <v>60</v>
      </c>
      <c r="E29" s="111" t="str">
        <f>VLOOKUP(D29,'[2]Tong hop NVL'!$A$2:$B$131,2,0)</f>
        <v>kg</v>
      </c>
      <c r="F29" s="8">
        <v>0.13205128205128205</v>
      </c>
    </row>
    <row r="30" spans="1:9" ht="30.75" customHeight="1" x14ac:dyDescent="0.3">
      <c r="B30" s="12" t="str">
        <f t="shared" si="4"/>
        <v>Khăn Soft pack Shelton Hoa văn tròn 100 tờ 4 lớp khổ 115x175mm</v>
      </c>
      <c r="C30" s="112" t="s">
        <v>182</v>
      </c>
      <c r="D30" s="97" t="s">
        <v>138</v>
      </c>
      <c r="E30" s="111" t="str">
        <f>VLOOKUP(D30,'[2]Tong hop NVL'!$A$2:$B$131,2,0)</f>
        <v>cuộn</v>
      </c>
      <c r="F30" s="8">
        <v>2.6077354018530491E-4</v>
      </c>
    </row>
    <row r="31" spans="1:9" ht="30.75" customHeight="1" x14ac:dyDescent="0.3">
      <c r="A31" s="5">
        <v>6</v>
      </c>
      <c r="B31" s="23" t="s">
        <v>25</v>
      </c>
      <c r="C31" s="112" t="s">
        <v>183</v>
      </c>
      <c r="D31" s="92" t="s">
        <v>113</v>
      </c>
      <c r="E31" s="111" t="str">
        <f>VLOOKUP(D31,'[2]Tong hop NVL'!$A$2:$B$131,2,0)</f>
        <v>kg</v>
      </c>
      <c r="F31" s="8">
        <v>1.05</v>
      </c>
    </row>
    <row r="32" spans="1:9" ht="24.75" customHeight="1" x14ac:dyDescent="0.3">
      <c r="B32" s="12" t="str">
        <f t="shared" ref="B32:B34" si="5">B31</f>
        <v>Khăn Soft pack Cân 3 lớp 200*175</v>
      </c>
      <c r="C32" s="112" t="s">
        <v>183</v>
      </c>
      <c r="D32" s="21" t="s">
        <v>180</v>
      </c>
      <c r="E32" s="111" t="str">
        <f>VLOOKUP(D32,'[2]Tong hop NVL'!$A$2:$B$131,2,0)</f>
        <v>kg</v>
      </c>
      <c r="F32" s="8">
        <v>1.3205128205128204E-2</v>
      </c>
    </row>
    <row r="33" spans="1:7" ht="30.75" customHeight="1" x14ac:dyDescent="0.3">
      <c r="B33" s="12" t="str">
        <f t="shared" si="5"/>
        <v>Khăn Soft pack Cân 3 lớp 200*175</v>
      </c>
      <c r="C33" s="112" t="s">
        <v>183</v>
      </c>
      <c r="D33" s="51" t="s">
        <v>150</v>
      </c>
      <c r="E33" s="111" t="str">
        <f>VLOOKUP(D33,'[2]Tong hop NVL'!$A$2:$B$131,2,0)</f>
        <v>cái</v>
      </c>
      <c r="F33" s="8">
        <v>8.5833333333333331E-2</v>
      </c>
      <c r="G33" s="5" t="s">
        <v>152</v>
      </c>
    </row>
    <row r="34" spans="1:7" ht="30.75" customHeight="1" x14ac:dyDescent="0.3">
      <c r="B34" s="12" t="str">
        <f t="shared" si="5"/>
        <v>Khăn Soft pack Cân 3 lớp 200*175</v>
      </c>
      <c r="C34" s="112" t="s">
        <v>183</v>
      </c>
      <c r="D34" s="97" t="s">
        <v>138</v>
      </c>
      <c r="E34" s="111" t="str">
        <f>VLOOKUP(D34,'[2]Tong hop NVL'!$A$2:$B$131,2,0)</f>
        <v>cuộn</v>
      </c>
      <c r="F34" s="8">
        <v>1.2668785462903091E-3</v>
      </c>
    </row>
    <row r="35" spans="1:7" ht="30.75" customHeight="1" x14ac:dyDescent="0.3">
      <c r="A35" s="5">
        <v>7</v>
      </c>
      <c r="B35" s="23" t="s">
        <v>184</v>
      </c>
      <c r="C35" s="112" t="s">
        <v>183</v>
      </c>
      <c r="D35" s="91" t="s">
        <v>114</v>
      </c>
      <c r="E35" s="111" t="str">
        <f>VLOOKUP(D35,'[2]Tong hop NVL'!$A$2:$B$131,2,0)</f>
        <v>kg</v>
      </c>
      <c r="F35" s="8">
        <v>1.05</v>
      </c>
    </row>
    <row r="36" spans="1:7" ht="30.75" customHeight="1" x14ac:dyDescent="0.3">
      <c r="B36" s="23" t="str">
        <f t="shared" ref="B36:B39" si="6">B35</f>
        <v>Khăn Soft pack Cân 2 lớp 115*175</v>
      </c>
      <c r="C36" s="112" t="s">
        <v>183</v>
      </c>
      <c r="D36" s="92" t="s">
        <v>115</v>
      </c>
      <c r="E36" s="111" t="str">
        <f>VLOOKUP(D36,'[2]Tong hop NVL'!$A$2:$B$131,2,0)</f>
        <v>kg</v>
      </c>
      <c r="F36" s="8">
        <v>1.05</v>
      </c>
    </row>
    <row r="37" spans="1:7" ht="30.75" customHeight="1" x14ac:dyDescent="0.3">
      <c r="B37" s="12" t="str">
        <f t="shared" si="6"/>
        <v>Khăn Soft pack Cân 2 lớp 115*175</v>
      </c>
      <c r="C37" s="112" t="s">
        <v>183</v>
      </c>
      <c r="D37" s="107" t="s">
        <v>162</v>
      </c>
      <c r="E37" s="111" t="str">
        <f>VLOOKUP(D37,'[2]Tong hop NVL'!$A$2:$B$131,2,0)</f>
        <v>kg</v>
      </c>
      <c r="F37" s="8">
        <v>1.3205128205128204E-2</v>
      </c>
    </row>
    <row r="38" spans="1:7" ht="30.75" customHeight="1" x14ac:dyDescent="0.3">
      <c r="B38" s="12" t="str">
        <f t="shared" si="6"/>
        <v>Khăn Soft pack Cân 2 lớp 115*175</v>
      </c>
      <c r="C38" s="112" t="s">
        <v>183</v>
      </c>
      <c r="D38" s="21" t="s">
        <v>153</v>
      </c>
      <c r="E38" s="111" t="str">
        <f>VLOOKUP(D38,'[2]Tong hop NVL'!$A$2:$B$131,2,0)</f>
        <v>cái</v>
      </c>
      <c r="F38" s="8">
        <v>8.5833333333333331E-2</v>
      </c>
      <c r="G38" s="5" t="s">
        <v>154</v>
      </c>
    </row>
    <row r="39" spans="1:7" ht="30.75" customHeight="1" x14ac:dyDescent="0.3">
      <c r="B39" s="12" t="str">
        <f t="shared" si="6"/>
        <v>Khăn Soft pack Cân 2 lớp 115*175</v>
      </c>
      <c r="C39" s="112" t="s">
        <v>183</v>
      </c>
      <c r="D39" s="97" t="s">
        <v>138</v>
      </c>
      <c r="E39" s="111" t="str">
        <f>VLOOKUP(D39,'[2]Tong hop NVL'!$A$2:$B$131,2,0)</f>
        <v>cuộn</v>
      </c>
      <c r="F39" s="8">
        <v>1.2668785462903091E-3</v>
      </c>
    </row>
    <row r="40" spans="1:7" ht="30.75" customHeight="1" x14ac:dyDescent="0.3">
      <c r="A40" s="5">
        <v>9</v>
      </c>
      <c r="B40" s="23" t="s">
        <v>156</v>
      </c>
      <c r="C40" s="112" t="s">
        <v>181</v>
      </c>
      <c r="D40" s="91" t="s">
        <v>114</v>
      </c>
      <c r="E40" s="111" t="str">
        <f>VLOOKUP(D40,'[2]Tong hop NVL'!$A$2:$B$131,2,0)</f>
        <v>kg</v>
      </c>
      <c r="F40" s="8">
        <v>0.1134</v>
      </c>
    </row>
    <row r="41" spans="1:7" ht="30.75" customHeight="1" x14ac:dyDescent="0.3">
      <c r="B41" s="12" t="str">
        <f t="shared" ref="B41:B44" si="7">B40</f>
        <v xml:space="preserve">Hộp Shelton 80 tờ 2 lớp trắng trơn khổ 195x175mm </v>
      </c>
      <c r="C41" s="112" t="s">
        <v>181</v>
      </c>
      <c r="D41" s="51" t="s">
        <v>155</v>
      </c>
      <c r="E41" s="111" t="str">
        <f>VLOOKUP(D41,'[2]Tong hop NVL'!$A$2:$B$131,2,0)</f>
        <v>cái</v>
      </c>
      <c r="F41" s="8">
        <v>1.03</v>
      </c>
    </row>
    <row r="42" spans="1:7" ht="30.75" customHeight="1" x14ac:dyDescent="0.3">
      <c r="B42" s="12" t="str">
        <f t="shared" si="7"/>
        <v xml:space="preserve">Hộp Shelton 80 tờ 2 lớp trắng trơn khổ 195x175mm </v>
      </c>
      <c r="C42" s="112" t="s">
        <v>181</v>
      </c>
      <c r="D42" s="21" t="s">
        <v>58</v>
      </c>
      <c r="E42" s="111" t="str">
        <f>VLOOKUP(D42,'[2]Tong hop NVL'!$A$2:$B$131,2,0)</f>
        <v>kg</v>
      </c>
      <c r="F42" s="8">
        <v>3.7728937728937735E-3</v>
      </c>
    </row>
    <row r="43" spans="1:7" ht="30.75" customHeight="1" x14ac:dyDescent="0.3">
      <c r="B43" s="12" t="str">
        <f t="shared" si="7"/>
        <v xml:space="preserve">Hộp Shelton 80 tờ 2 lớp trắng trơn khổ 195x175mm </v>
      </c>
      <c r="C43" s="112" t="s">
        <v>181</v>
      </c>
      <c r="D43" s="107" t="s">
        <v>185</v>
      </c>
      <c r="E43" s="111" t="str">
        <f>VLOOKUP(D43,'[2]Tong hop NVL'!$A$2:$B$131,2,0)</f>
        <v>cái</v>
      </c>
      <c r="F43" s="8">
        <v>1.7166666666666667E-2</v>
      </c>
      <c r="G43" s="5" t="s">
        <v>157</v>
      </c>
    </row>
    <row r="44" spans="1:7" ht="30.75" customHeight="1" x14ac:dyDescent="0.3">
      <c r="B44" s="12" t="str">
        <f t="shared" si="7"/>
        <v xml:space="preserve">Hộp Shelton 80 tờ 2 lớp trắng trơn khổ 195x175mm </v>
      </c>
      <c r="C44" s="112" t="s">
        <v>181</v>
      </c>
      <c r="D44" s="97" t="s">
        <v>138</v>
      </c>
      <c r="E44" s="111" t="str">
        <f>VLOOKUP(D44,'[2]Tong hop NVL'!$A$2:$B$131,2,0)</f>
        <v>cuộn</v>
      </c>
      <c r="F44" s="8">
        <v>2.6077354018530491E-4</v>
      </c>
    </row>
    <row r="45" spans="1:7" ht="30.75" customHeight="1" x14ac:dyDescent="0.3">
      <c r="A45" s="5">
        <v>10</v>
      </c>
      <c r="B45" s="23" t="s">
        <v>29</v>
      </c>
      <c r="C45" s="112" t="s">
        <v>182</v>
      </c>
      <c r="D45" s="92" t="s">
        <v>113</v>
      </c>
      <c r="E45" s="111" t="str">
        <f>VLOOKUP(D45,'[2]Tong hop NVL'!$A$2:$B$131,2,0)</f>
        <v>kg</v>
      </c>
      <c r="F45" s="8">
        <v>0.24990000000000001</v>
      </c>
    </row>
    <row r="46" spans="1:7" ht="30.75" customHeight="1" x14ac:dyDescent="0.3">
      <c r="B46" s="12" t="str">
        <f t="shared" ref="B46:B48" si="8">B45</f>
        <v>Khăn Soft pack 180 tờ 3 lớp 195*175</v>
      </c>
      <c r="C46" s="112" t="s">
        <v>182</v>
      </c>
      <c r="D46" s="21" t="s">
        <v>63</v>
      </c>
      <c r="E46" s="111" t="str">
        <f>VLOOKUP(D46,'[2]Tong hop NVL'!$A$2:$B$131,2,0)</f>
        <v>kg</v>
      </c>
      <c r="F46" s="8">
        <v>4.681818181818182E-3</v>
      </c>
    </row>
    <row r="47" spans="1:7" ht="30.75" customHeight="1" x14ac:dyDescent="0.3">
      <c r="B47" s="12" t="str">
        <f t="shared" si="8"/>
        <v>Khăn Soft pack 180 tờ 3 lớp 195*175</v>
      </c>
      <c r="C47" s="112" t="s">
        <v>182</v>
      </c>
      <c r="D47" s="51" t="s">
        <v>158</v>
      </c>
      <c r="E47" s="111" t="str">
        <f>VLOOKUP(D47,'[2]Tong hop NVL'!$A$2:$B$131,2,0)</f>
        <v>cái</v>
      </c>
      <c r="F47" s="8">
        <v>2.06E-2</v>
      </c>
    </row>
    <row r="48" spans="1:7" ht="30.75" customHeight="1" x14ac:dyDescent="0.3">
      <c r="B48" s="12" t="str">
        <f t="shared" si="8"/>
        <v>Khăn Soft pack 180 tờ 3 lớp 195*175</v>
      </c>
      <c r="C48" s="112" t="s">
        <v>182</v>
      </c>
      <c r="D48" s="97" t="s">
        <v>138</v>
      </c>
      <c r="E48" s="111" t="str">
        <f>VLOOKUP(D48,'[2]Tong hop NVL'!$A$2:$B$131,2,0)</f>
        <v>cuộn</v>
      </c>
      <c r="F48" s="8">
        <v>2.6188321482439132E-4</v>
      </c>
    </row>
    <row r="49" spans="1:7" ht="30.75" customHeight="1" x14ac:dyDescent="0.3">
      <c r="A49" s="5">
        <v>11</v>
      </c>
      <c r="B49" s="23" t="s">
        <v>30</v>
      </c>
      <c r="C49" s="112" t="s">
        <v>182</v>
      </c>
      <c r="D49" s="91" t="s">
        <v>116</v>
      </c>
      <c r="E49" s="111" t="str">
        <f>VLOOKUP(D49,'[2]Tong hop NVL'!$A$2:$B$131,2,0)</f>
        <v>kg</v>
      </c>
      <c r="F49" s="8">
        <v>0.16275000000000001</v>
      </c>
    </row>
    <row r="50" spans="1:7" ht="30.75" customHeight="1" x14ac:dyDescent="0.3">
      <c r="B50" s="12" t="str">
        <f t="shared" ref="B50:B52" si="9">B49</f>
        <v>Khăn lau đa năng 2 lớp 100 tờ khổ 205x175</v>
      </c>
      <c r="C50" s="112" t="s">
        <v>182</v>
      </c>
      <c r="D50" s="31" t="s">
        <v>64</v>
      </c>
      <c r="E50" s="111" t="str">
        <f>VLOOKUP(D50,'[2]Tong hop NVL'!$A$2:$B$131,2,0)</f>
        <v>kg</v>
      </c>
      <c r="F50" s="8">
        <v>4.4396551724137931E-3</v>
      </c>
    </row>
    <row r="51" spans="1:7" ht="30.75" customHeight="1" x14ac:dyDescent="0.3">
      <c r="B51" s="12" t="str">
        <f t="shared" si="9"/>
        <v>Khăn lau đa năng 2 lớp 100 tờ khổ 205x175</v>
      </c>
      <c r="C51" s="112" t="s">
        <v>182</v>
      </c>
      <c r="D51" s="51" t="s">
        <v>127</v>
      </c>
      <c r="E51" s="111" t="str">
        <f>VLOOKUP(D51,'[2]Tong hop NVL'!$A$2:$B$131,2,0)</f>
        <v>kg</v>
      </c>
      <c r="F51" s="8">
        <v>1.8727272727272729E-3</v>
      </c>
      <c r="G51" s="5" t="s">
        <v>159</v>
      </c>
    </row>
    <row r="52" spans="1:7" ht="30.75" customHeight="1" x14ac:dyDescent="0.3">
      <c r="B52" s="12" t="str">
        <f t="shared" si="9"/>
        <v>Khăn lau đa năng 2 lớp 100 tờ khổ 205x175</v>
      </c>
      <c r="C52" s="112" t="s">
        <v>182</v>
      </c>
      <c r="D52" s="97" t="s">
        <v>138</v>
      </c>
      <c r="E52" s="111" t="str">
        <f>VLOOKUP(D52,'[2]Tong hop NVL'!$A$2:$B$131,2,0)</f>
        <v>cuộn</v>
      </c>
      <c r="F52" s="8">
        <v>1.3316095669036845E-4</v>
      </c>
    </row>
    <row r="53" spans="1:7" ht="30.75" customHeight="1" x14ac:dyDescent="0.3">
      <c r="A53" s="5">
        <v>12</v>
      </c>
      <c r="B53" s="23" t="s">
        <v>31</v>
      </c>
      <c r="C53" s="112" t="s">
        <v>182</v>
      </c>
      <c r="D53" s="91" t="s">
        <v>116</v>
      </c>
      <c r="E53" s="111" t="str">
        <f>VLOOKUP(D53,'[2]Tong hop NVL'!$A$2:$B$131,2,0)</f>
        <v>kg</v>
      </c>
      <c r="F53" s="8">
        <v>0.20685000000000001</v>
      </c>
    </row>
    <row r="54" spans="1:7" ht="30.75" customHeight="1" x14ac:dyDescent="0.3">
      <c r="B54" s="12" t="str">
        <f t="shared" ref="B54:B56" si="10">B53</f>
        <v>Khăn lau đa năng 2 lớp 120.130.150 tờ khổ 205x175</v>
      </c>
      <c r="C54" s="112" t="s">
        <v>182</v>
      </c>
      <c r="D54" s="31" t="s">
        <v>64</v>
      </c>
      <c r="E54" s="111" t="str">
        <f>VLOOKUP(D54,'[2]Tong hop NVL'!$A$2:$B$131,2,0)</f>
        <v>kg</v>
      </c>
      <c r="F54" s="8">
        <v>4.4289999999999998E-3</v>
      </c>
    </row>
    <row r="55" spans="1:7" ht="30.75" customHeight="1" x14ac:dyDescent="0.3">
      <c r="B55" s="12" t="str">
        <f t="shared" si="10"/>
        <v>Khăn lau đa năng 2 lớp 120.130.150 tờ khổ 205x175</v>
      </c>
      <c r="C55" s="112" t="s">
        <v>182</v>
      </c>
      <c r="D55" s="51" t="s">
        <v>127</v>
      </c>
      <c r="E55" s="111" t="str">
        <f>VLOOKUP(D55,'[2]Tong hop NVL'!$A$2:$B$131,2,0)</f>
        <v>kg</v>
      </c>
      <c r="F55" s="8">
        <v>1.8727272727272729E-3</v>
      </c>
      <c r="G55" s="5" t="s">
        <v>159</v>
      </c>
    </row>
    <row r="56" spans="1:7" ht="30.75" customHeight="1" x14ac:dyDescent="0.3">
      <c r="B56" s="37" t="str">
        <f t="shared" si="10"/>
        <v>Khăn lau đa năng 2 lớp 120.130.150 tờ khổ 205x175</v>
      </c>
      <c r="C56" s="112" t="s">
        <v>182</v>
      </c>
      <c r="D56" s="97" t="s">
        <v>138</v>
      </c>
      <c r="E56" s="111" t="str">
        <f>VLOOKUP(D56,'[2]Tong hop NVL'!$A$2:$B$131,2,0)</f>
        <v>cuộn</v>
      </c>
      <c r="F56" s="8">
        <v>1.3316095669036845E-4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014E-4AAC-46C9-8C70-297D0ACC008F}">
  <sheetPr codeName="Sheet6"/>
  <dimension ref="A1:F38"/>
  <sheetViews>
    <sheetView topLeftCell="A34" zoomScale="85" zoomScaleNormal="85" workbookViewId="0">
      <selection activeCell="F33" sqref="F33"/>
    </sheetView>
  </sheetViews>
  <sheetFormatPr defaultColWidth="9" defaultRowHeight="18.75" x14ac:dyDescent="0.3"/>
  <cols>
    <col min="1" max="1" width="9" style="27"/>
    <col min="2" max="3" width="43.42578125" style="27" customWidth="1"/>
    <col min="4" max="4" width="62.140625" style="32" customWidth="1"/>
    <col min="5" max="5" width="22.85546875" style="27" customWidth="1"/>
    <col min="6" max="6" width="16" style="5" customWidth="1"/>
    <col min="7" max="16384" width="9" style="27"/>
  </cols>
  <sheetData>
    <row r="1" spans="1:6" x14ac:dyDescent="0.3">
      <c r="B1" s="99" t="s">
        <v>55</v>
      </c>
      <c r="C1" s="115"/>
      <c r="D1" s="100"/>
    </row>
    <row r="2" spans="1:6" x14ac:dyDescent="0.3">
      <c r="B2" s="27" t="str">
        <f>B1</f>
        <v>Máy khăn hộp (Máy KH 760)</v>
      </c>
    </row>
    <row r="3" spans="1:6" ht="18.75" customHeight="1" x14ac:dyDescent="0.3">
      <c r="A3" s="18" t="s">
        <v>42</v>
      </c>
      <c r="B3" s="19" t="s">
        <v>39</v>
      </c>
      <c r="C3" s="19"/>
      <c r="D3" s="30" t="s">
        <v>34</v>
      </c>
      <c r="E3" s="7"/>
      <c r="F3" s="44" t="s">
        <v>71</v>
      </c>
    </row>
    <row r="4" spans="1:6" x14ac:dyDescent="0.3">
      <c r="B4" s="27" t="str">
        <f>B3</f>
        <v>Tên sản phẩm</v>
      </c>
      <c r="D4" s="11"/>
      <c r="E4" s="8"/>
      <c r="F4" s="44"/>
    </row>
    <row r="5" spans="1:6" ht="56.25" x14ac:dyDescent="0.3">
      <c r="A5" s="27">
        <v>1</v>
      </c>
      <c r="B5" s="23" t="s">
        <v>48</v>
      </c>
      <c r="C5" s="112" t="s">
        <v>181</v>
      </c>
      <c r="D5" s="91" t="s">
        <v>117</v>
      </c>
      <c r="E5" s="8" t="str">
        <f>VLOOKUP(D5,'[2]Tong hop NVL'!$A$2:$B$131,2,0)</f>
        <v>kg</v>
      </c>
      <c r="F5" s="8">
        <v>0.19950000000000001</v>
      </c>
    </row>
    <row r="6" spans="1:6" ht="56.25" x14ac:dyDescent="0.3">
      <c r="A6" s="5"/>
      <c r="B6" s="12" t="str">
        <f>B5</f>
        <v>Khăn hộp Shelton Hồng Đỏ, hồng vàng, nhí xanh, bướm bạc 180 tờ 2 lớp</v>
      </c>
      <c r="C6" s="112" t="s">
        <v>181</v>
      </c>
      <c r="D6" s="21" t="s">
        <v>45</v>
      </c>
      <c r="E6" s="8" t="str">
        <f>VLOOKUP(D6,'[2]Tong hop NVL'!$A$2:$B$131,2,0)</f>
        <v>Cái</v>
      </c>
      <c r="F6" s="8">
        <v>1.03</v>
      </c>
    </row>
    <row r="7" spans="1:6" ht="56.25" x14ac:dyDescent="0.3">
      <c r="A7" s="5"/>
      <c r="B7" s="12" t="str">
        <f t="shared" ref="B7:B11" si="0">B6</f>
        <v>Khăn hộp Shelton Hồng Đỏ, hồng vàng, nhí xanh, bướm bạc 180 tờ 2 lớp</v>
      </c>
      <c r="C7" s="112" t="s">
        <v>181</v>
      </c>
      <c r="D7" s="21" t="s">
        <v>46</v>
      </c>
      <c r="E7" s="8" t="str">
        <f>VLOOKUP(D7,'[2]Tong hop NVL'!$A$2:$B$131,2,0)</f>
        <v>Cái</v>
      </c>
      <c r="F7" s="8">
        <v>1.03</v>
      </c>
    </row>
    <row r="8" spans="1:6" ht="56.25" x14ac:dyDescent="0.3">
      <c r="A8" s="5"/>
      <c r="B8" s="12" t="str">
        <f t="shared" si="0"/>
        <v>Khăn hộp Shelton Hồng Đỏ, hồng vàng, nhí xanh, bướm bạc 180 tờ 2 lớp</v>
      </c>
      <c r="C8" s="112" t="s">
        <v>181</v>
      </c>
      <c r="D8" s="21" t="s">
        <v>47</v>
      </c>
      <c r="E8" s="8" t="str">
        <f>VLOOKUP(D8,'[2]Tong hop NVL'!$A$2:$B$131,2,0)</f>
        <v>cái</v>
      </c>
      <c r="F8" s="8">
        <v>1.03</v>
      </c>
    </row>
    <row r="9" spans="1:6" ht="56.25" x14ac:dyDescent="0.3">
      <c r="A9" s="5"/>
      <c r="B9" s="12" t="str">
        <f t="shared" si="0"/>
        <v>Khăn hộp Shelton Hồng Đỏ, hồng vàng, nhí xanh, bướm bạc 180 tờ 2 lớp</v>
      </c>
      <c r="C9" s="112" t="s">
        <v>181</v>
      </c>
      <c r="D9" s="21" t="s">
        <v>56</v>
      </c>
      <c r="E9" s="8" t="str">
        <f>VLOOKUP(D9,'[2]Tong hop NVL'!$A$2:$B$131,2,0)</f>
        <v>kg</v>
      </c>
      <c r="F9" s="8">
        <v>4.0129870129870127E-2</v>
      </c>
    </row>
    <row r="10" spans="1:6" ht="56.25" x14ac:dyDescent="0.3">
      <c r="A10" s="5"/>
      <c r="B10" s="12" t="str">
        <f t="shared" si="0"/>
        <v>Khăn hộp Shelton Hồng Đỏ, hồng vàng, nhí xanh, bướm bạc 180 tờ 2 lớp</v>
      </c>
      <c r="C10" s="112" t="s">
        <v>181</v>
      </c>
      <c r="D10" s="21" t="s">
        <v>57</v>
      </c>
      <c r="E10" s="8" t="str">
        <f>VLOOKUP(D10,'[2]Tong hop NVL'!$A$2:$B$131,2,0)</f>
        <v>cái</v>
      </c>
      <c r="F10" s="8">
        <v>1.7166666666666667E-2</v>
      </c>
    </row>
    <row r="11" spans="1:6" ht="56.25" x14ac:dyDescent="0.3">
      <c r="A11" s="5"/>
      <c r="B11" s="12" t="str">
        <f t="shared" si="0"/>
        <v>Khăn hộp Shelton Hồng Đỏ, hồng vàng, nhí xanh, bướm bạc 180 tờ 2 lớp</v>
      </c>
      <c r="C11" s="112" t="s">
        <v>181</v>
      </c>
      <c r="D11" s="21" t="s">
        <v>138</v>
      </c>
      <c r="E11" s="8" t="str">
        <f>VLOOKUP(D11,'[2]Tong hop NVL'!$A$2:$B$131,2,0)</f>
        <v>cuộn</v>
      </c>
      <c r="F11" s="8">
        <v>2.4412842059900886E-4</v>
      </c>
    </row>
    <row r="12" spans="1:6" ht="37.5" x14ac:dyDescent="0.3">
      <c r="A12" s="5">
        <v>2</v>
      </c>
      <c r="B12" s="23" t="s">
        <v>9</v>
      </c>
      <c r="C12" s="112" t="s">
        <v>182</v>
      </c>
      <c r="D12" s="91" t="s">
        <v>117</v>
      </c>
      <c r="E12" s="8" t="str">
        <f>VLOOKUP(D12,'[2]Tong hop NVL'!$A$2:$B$131,2,0)</f>
        <v>kg</v>
      </c>
      <c r="F12" s="8">
        <v>0.26250000000000001</v>
      </c>
    </row>
    <row r="13" spans="1:6" ht="37.5" x14ac:dyDescent="0.3">
      <c r="A13" s="5"/>
      <c r="B13" s="12" t="str">
        <f t="shared" ref="B13:B15" si="1">B12</f>
        <v>Khăn Soft pack Shelton Lá xanh 250 tờ 2 lớp khổ 190x200mm</v>
      </c>
      <c r="C13" s="112" t="s">
        <v>182</v>
      </c>
      <c r="D13" s="21" t="s">
        <v>160</v>
      </c>
      <c r="E13" s="8" t="str">
        <f>VLOOKUP(D13,'[2]Tong hop NVL'!$A$2:$B$131,2,0)</f>
        <v>kg</v>
      </c>
      <c r="F13" s="8">
        <v>5.579734404642339E-3</v>
      </c>
    </row>
    <row r="14" spans="1:6" ht="37.5" x14ac:dyDescent="0.3">
      <c r="A14" s="5"/>
      <c r="B14" s="12" t="str">
        <f t="shared" si="1"/>
        <v>Khăn Soft pack Shelton Lá xanh 250 tờ 2 lớp khổ 190x200mm</v>
      </c>
      <c r="C14" s="112" t="s">
        <v>182</v>
      </c>
      <c r="D14" s="51" t="s">
        <v>158</v>
      </c>
      <c r="E14" s="8" t="str">
        <f>VLOOKUP(D14,'[2]Tong hop NVL'!$A$2:$B$131,2,0)</f>
        <v>cái</v>
      </c>
      <c r="F14" s="8">
        <v>1.9417475728155338E-2</v>
      </c>
    </row>
    <row r="15" spans="1:6" ht="37.5" x14ac:dyDescent="0.3">
      <c r="A15" s="5"/>
      <c r="B15" s="12" t="str">
        <f t="shared" si="1"/>
        <v>Khăn Soft pack Shelton Lá xanh 250 tờ 2 lớp khổ 190x200mm</v>
      </c>
      <c r="C15" s="112" t="s">
        <v>182</v>
      </c>
      <c r="D15" s="21" t="s">
        <v>138</v>
      </c>
      <c r="E15" s="8" t="str">
        <f>VLOOKUP(D15,'[2]Tong hop NVL'!$A$2:$B$131,2,0)</f>
        <v>cuộn</v>
      </c>
      <c r="F15" s="8">
        <v>2.4685004696426739E-4</v>
      </c>
    </row>
    <row r="16" spans="1:6" ht="37.5" x14ac:dyDescent="0.3">
      <c r="A16" s="5">
        <v>3</v>
      </c>
      <c r="B16" s="23" t="s">
        <v>10</v>
      </c>
      <c r="C16" s="112" t="s">
        <v>182</v>
      </c>
      <c r="D16" s="91" t="s">
        <v>117</v>
      </c>
      <c r="E16" s="8" t="str">
        <f>VLOOKUP(D16,'[2]Tong hop NVL'!$A$2:$B$131,2,0)</f>
        <v>kg</v>
      </c>
      <c r="F16" s="8">
        <v>0.26250000000000001</v>
      </c>
    </row>
    <row r="17" spans="1:6" ht="37.5" x14ac:dyDescent="0.3">
      <c r="A17" s="5"/>
      <c r="B17" s="12" t="str">
        <f t="shared" ref="B17:B19" si="2">B16</f>
        <v>Khăn Soft pack Shelton Hoa văn tròn 250 tờ 2 lớp khổ 190x200mm</v>
      </c>
      <c r="C17" s="112" t="s">
        <v>182</v>
      </c>
      <c r="D17" s="51" t="s">
        <v>161</v>
      </c>
      <c r="E17" s="8" t="str">
        <f>VLOOKUP(D17,'[2]Tong hop NVL'!$A$2:$B$131,2,0)</f>
        <v>kg</v>
      </c>
      <c r="F17" s="8">
        <v>5.6593406593406599E-3</v>
      </c>
    </row>
    <row r="18" spans="1:6" ht="37.5" x14ac:dyDescent="0.3">
      <c r="A18" s="5"/>
      <c r="B18" s="12" t="str">
        <f t="shared" si="2"/>
        <v>Khăn Soft pack Shelton Hoa văn tròn 250 tờ 2 lớp khổ 190x200mm</v>
      </c>
      <c r="C18" s="112" t="s">
        <v>182</v>
      </c>
      <c r="D18" s="51" t="s">
        <v>158</v>
      </c>
      <c r="E18" s="8" t="str">
        <f>VLOOKUP(D18,'[2]Tong hop NVL'!$A$2:$B$131,2,0)</f>
        <v>cái</v>
      </c>
      <c r="F18" s="8">
        <v>2.06E-2</v>
      </c>
    </row>
    <row r="19" spans="1:6" ht="37.5" x14ac:dyDescent="0.3">
      <c r="A19" s="5"/>
      <c r="B19" s="12" t="str">
        <f t="shared" si="2"/>
        <v>Khăn Soft pack Shelton Hoa văn tròn 250 tờ 2 lớp khổ 190x200mm</v>
      </c>
      <c r="C19" s="112" t="s">
        <v>182</v>
      </c>
      <c r="D19" s="21" t="s">
        <v>138</v>
      </c>
      <c r="E19" s="8" t="str">
        <f>VLOOKUP(D19,'[2]Tong hop NVL'!$A$2:$B$131,2,0)</f>
        <v>cuộn</v>
      </c>
      <c r="F19" s="8">
        <v>2.4685004696426739E-4</v>
      </c>
    </row>
    <row r="20" spans="1:6" ht="37.5" x14ac:dyDescent="0.3">
      <c r="A20" s="5">
        <v>4</v>
      </c>
      <c r="B20" s="23" t="s">
        <v>11</v>
      </c>
      <c r="C20" s="112" t="s">
        <v>181</v>
      </c>
      <c r="D20" s="91" t="s">
        <v>117</v>
      </c>
      <c r="E20" s="8" t="str">
        <f>VLOOKUP(D20,'[2]Tong hop NVL'!$A$2:$B$131,2,0)</f>
        <v>kg</v>
      </c>
      <c r="F20" s="8">
        <v>7.035000000000001E-2</v>
      </c>
    </row>
    <row r="21" spans="1:6" ht="37.5" x14ac:dyDescent="0.3">
      <c r="A21" s="5"/>
      <c r="B21" s="12" t="str">
        <f t="shared" ref="B21:B24" si="3">B20</f>
        <v>Khăn hộp vuông Shelton trắng trơn 80 tờ 2 lớp</v>
      </c>
      <c r="C21" s="112" t="s">
        <v>181</v>
      </c>
      <c r="D21" s="51" t="s">
        <v>155</v>
      </c>
      <c r="E21" s="8" t="str">
        <f>VLOOKUP(D21,'[2]Tong hop NVL'!$A$2:$B$131,2,0)</f>
        <v>cái</v>
      </c>
      <c r="F21" s="8">
        <v>1.03</v>
      </c>
    </row>
    <row r="22" spans="1:6" ht="37.5" x14ac:dyDescent="0.3">
      <c r="A22" s="5"/>
      <c r="B22" s="12" t="str">
        <f t="shared" si="3"/>
        <v>Khăn hộp vuông Shelton trắng trơn 80 tờ 2 lớp</v>
      </c>
      <c r="C22" s="112" t="s">
        <v>181</v>
      </c>
      <c r="D22" s="51" t="s">
        <v>58</v>
      </c>
      <c r="E22" s="8" t="str">
        <f>VLOOKUP(D22,'[2]Tong hop NVL'!$A$2:$B$131,2,0)</f>
        <v>kg</v>
      </c>
      <c r="F22" s="8">
        <v>0.28119000000000005</v>
      </c>
    </row>
    <row r="23" spans="1:6" ht="37.5" x14ac:dyDescent="0.3">
      <c r="A23" s="5"/>
      <c r="B23" s="12" t="str">
        <f t="shared" si="3"/>
        <v>Khăn hộp vuông Shelton trắng trơn 80 tờ 2 lớp</v>
      </c>
      <c r="C23" s="112" t="s">
        <v>181</v>
      </c>
      <c r="D23" s="51" t="s">
        <v>185</v>
      </c>
      <c r="E23" s="8" t="str">
        <f>VLOOKUP(D23,'[2]Tong hop NVL'!$A$2:$B$131,2,0)</f>
        <v>cái</v>
      </c>
      <c r="F23" s="8">
        <v>1.7166666666666667E-2</v>
      </c>
    </row>
    <row r="24" spans="1:6" ht="37.5" x14ac:dyDescent="0.3">
      <c r="A24" s="5"/>
      <c r="B24" s="12" t="str">
        <f t="shared" si="3"/>
        <v>Khăn hộp vuông Shelton trắng trơn 80 tờ 2 lớp</v>
      </c>
      <c r="C24" s="112" t="s">
        <v>181</v>
      </c>
      <c r="D24" s="21" t="s">
        <v>138</v>
      </c>
      <c r="E24" s="8" t="str">
        <f>VLOOKUP(D24,'[2]Tong hop NVL'!$A$2:$B$131,2,0)</f>
        <v>cuộn</v>
      </c>
      <c r="F24" s="8">
        <v>2.6077354018530491E-4</v>
      </c>
    </row>
    <row r="25" spans="1:6" ht="33.75" customHeight="1" x14ac:dyDescent="0.3">
      <c r="A25" s="5">
        <v>5</v>
      </c>
      <c r="B25" s="29" t="s">
        <v>49</v>
      </c>
      <c r="C25" s="112" t="s">
        <v>181</v>
      </c>
      <c r="D25" s="91" t="s">
        <v>117</v>
      </c>
      <c r="E25" s="8" t="str">
        <f>VLOOKUP(D25,'[2]Tong hop NVL'!$A$2:$B$131,2,0)</f>
        <v>kg</v>
      </c>
      <c r="F25" s="8">
        <v>0.13650000000000001</v>
      </c>
    </row>
    <row r="26" spans="1:6" ht="31.5" customHeight="1" x14ac:dyDescent="0.3">
      <c r="A26" s="5"/>
      <c r="B26" s="9" t="str">
        <f t="shared" ref="B26:B29" si="4">B25</f>
        <v>Khăn hộp vuông Shelton Lá xanh 120 tờ 2 lớp</v>
      </c>
      <c r="C26" s="112" t="s">
        <v>181</v>
      </c>
      <c r="D26" s="51" t="s">
        <v>44</v>
      </c>
      <c r="E26" s="8" t="str">
        <f>VLOOKUP(D26,'[2]Tong hop NVL'!$A$2:$B$131,2,0)</f>
        <v>cái</v>
      </c>
      <c r="F26" s="8">
        <v>1.03</v>
      </c>
    </row>
    <row r="27" spans="1:6" ht="31.5" customHeight="1" x14ac:dyDescent="0.3">
      <c r="A27" s="5"/>
      <c r="B27" s="9" t="str">
        <f t="shared" si="4"/>
        <v>Khăn hộp vuông Shelton Lá xanh 120 tờ 2 lớp</v>
      </c>
      <c r="C27" s="112" t="s">
        <v>181</v>
      </c>
      <c r="D27" s="21" t="s">
        <v>58</v>
      </c>
      <c r="E27" s="8" t="str">
        <f>VLOOKUP(D27,'[2]Tong hop NVL'!$A$2:$B$131,2,0)</f>
        <v>kg</v>
      </c>
      <c r="F27" s="8">
        <v>0.28119000000000005</v>
      </c>
    </row>
    <row r="28" spans="1:6" ht="31.5" customHeight="1" x14ac:dyDescent="0.3">
      <c r="A28" s="5"/>
      <c r="B28" s="9" t="str">
        <f t="shared" si="4"/>
        <v>Khăn hộp vuông Shelton Lá xanh 120 tờ 2 lớp</v>
      </c>
      <c r="C28" s="112" t="s">
        <v>181</v>
      </c>
      <c r="D28" s="107" t="s">
        <v>185</v>
      </c>
      <c r="E28" s="8" t="str">
        <f>VLOOKUP(D28,'[2]Tong hop NVL'!$A$2:$B$131,2,0)</f>
        <v>cái</v>
      </c>
      <c r="F28" s="8">
        <v>1.7166666666666667E-2</v>
      </c>
    </row>
    <row r="29" spans="1:6" ht="31.5" customHeight="1" x14ac:dyDescent="0.3">
      <c r="A29" s="5"/>
      <c r="B29" s="9" t="str">
        <f t="shared" si="4"/>
        <v>Khăn hộp vuông Shelton Lá xanh 120 tờ 2 lớp</v>
      </c>
      <c r="C29" s="112" t="s">
        <v>181</v>
      </c>
      <c r="D29" s="21" t="s">
        <v>138</v>
      </c>
      <c r="E29" s="8" t="str">
        <f>VLOOKUP(D29,'[2]Tong hop NVL'!$A$2:$B$131,2,0)</f>
        <v>cuộn</v>
      </c>
      <c r="F29" s="8">
        <v>2.6077354018530491E-4</v>
      </c>
    </row>
    <row r="30" spans="1:6" ht="34.5" customHeight="1" x14ac:dyDescent="0.3">
      <c r="A30" s="5">
        <v>6</v>
      </c>
      <c r="B30" s="29" t="s">
        <v>12</v>
      </c>
      <c r="C30" s="112" t="s">
        <v>181</v>
      </c>
      <c r="D30" s="91" t="s">
        <v>117</v>
      </c>
      <c r="E30" s="8" t="str">
        <f>VLOOKUP(D30,'[2]Tong hop NVL'!$A$2:$B$131,2,0)</f>
        <v>kg</v>
      </c>
      <c r="F30" s="8">
        <v>0.13650000000000001</v>
      </c>
    </row>
    <row r="31" spans="1:6" ht="33.75" customHeight="1" x14ac:dyDescent="0.3">
      <c r="A31" s="5"/>
      <c r="B31" s="9" t="str">
        <f t="shared" ref="B31:B34" si="5">B30</f>
        <v>Khăn hộp vuông Shelton trắng trơn 120 tờ 2 lớp</v>
      </c>
      <c r="C31" s="112" t="s">
        <v>181</v>
      </c>
      <c r="D31" s="51" t="s">
        <v>50</v>
      </c>
      <c r="E31" s="8" t="str">
        <f>VLOOKUP(D31,'[2]Tong hop NVL'!$A$2:$B$131,2,0)</f>
        <v>cái</v>
      </c>
      <c r="F31" s="8">
        <v>1.05</v>
      </c>
    </row>
    <row r="32" spans="1:6" ht="33.75" customHeight="1" x14ac:dyDescent="0.3">
      <c r="A32" s="5"/>
      <c r="B32" s="9" t="str">
        <f t="shared" si="5"/>
        <v>Khăn hộp vuông Shelton trắng trơn 120 tờ 2 lớp</v>
      </c>
      <c r="C32" s="112" t="s">
        <v>181</v>
      </c>
      <c r="D32" s="21" t="s">
        <v>58</v>
      </c>
      <c r="E32" s="8" t="str">
        <f>VLOOKUP(D32,'[2]Tong hop NVL'!$A$2:$B$131,2,0)</f>
        <v>kg</v>
      </c>
      <c r="F32" s="8">
        <v>0.28665000000000002</v>
      </c>
    </row>
    <row r="33" spans="1:6" ht="33.75" customHeight="1" x14ac:dyDescent="0.3">
      <c r="A33" s="5"/>
      <c r="B33" s="9" t="str">
        <f t="shared" si="5"/>
        <v>Khăn hộp vuông Shelton trắng trơn 120 tờ 2 lớp</v>
      </c>
      <c r="C33" s="112" t="s">
        <v>181</v>
      </c>
      <c r="D33" s="107" t="s">
        <v>185</v>
      </c>
      <c r="E33" s="8" t="str">
        <f>VLOOKUP(D33,'[2]Tong hop NVL'!$A$2:$B$131,2,0)</f>
        <v>cái</v>
      </c>
      <c r="F33" s="8">
        <v>1.7500000000000002E-2</v>
      </c>
    </row>
    <row r="34" spans="1:6" ht="33.75" customHeight="1" x14ac:dyDescent="0.3">
      <c r="A34" s="5"/>
      <c r="B34" s="9" t="str">
        <f t="shared" si="5"/>
        <v>Khăn hộp vuông Shelton trắng trơn 120 tờ 2 lớp</v>
      </c>
      <c r="C34" s="112" t="s">
        <v>181</v>
      </c>
      <c r="D34" s="21" t="s">
        <v>138</v>
      </c>
      <c r="E34" s="8" t="str">
        <f>VLOOKUP(D34,'[2]Tong hop NVL'!$A$2:$B$131,2,0)</f>
        <v>cuộn</v>
      </c>
      <c r="F34" s="8">
        <v>2.6077354018530491E-4</v>
      </c>
    </row>
    <row r="35" spans="1:6" ht="37.5" x14ac:dyDescent="0.3">
      <c r="A35" s="5">
        <v>7</v>
      </c>
      <c r="B35" s="23" t="s">
        <v>13</v>
      </c>
      <c r="C35" s="112" t="s">
        <v>182</v>
      </c>
      <c r="D35" s="92" t="s">
        <v>118</v>
      </c>
      <c r="E35" s="8" t="str">
        <f>VLOOKUP(D35,'[2]Tong hop NVL'!$A$2:$B$131,2,0)</f>
        <v>kg</v>
      </c>
      <c r="F35" s="8">
        <v>0.189</v>
      </c>
    </row>
    <row r="36" spans="1:6" ht="37.5" x14ac:dyDescent="0.3">
      <c r="A36" s="5"/>
      <c r="B36" s="12" t="str">
        <f t="shared" ref="B36:B38" si="6">B35</f>
        <v>Khăn lau đa năng 2 lớp 100 tờ khổ 190*200</v>
      </c>
      <c r="C36" s="112" t="s">
        <v>182</v>
      </c>
      <c r="D36" s="51" t="s">
        <v>127</v>
      </c>
      <c r="E36" s="8" t="str">
        <f>VLOOKUP(D36,'[2]Tong hop NVL'!$A$2:$B$131,2,0)</f>
        <v>kg</v>
      </c>
      <c r="F36" s="8">
        <v>2.06E-2</v>
      </c>
    </row>
    <row r="37" spans="1:6" x14ac:dyDescent="0.3">
      <c r="B37" s="28" t="str">
        <f t="shared" si="6"/>
        <v>Khăn lau đa năng 2 lớp 100 tờ khổ 190*200</v>
      </c>
      <c r="C37" s="112" t="s">
        <v>182</v>
      </c>
      <c r="D37" s="31" t="s">
        <v>64</v>
      </c>
      <c r="E37" s="8" t="str">
        <f>VLOOKUP(D37,'[2]Tong hop NVL'!$A$2:$B$131,2,0)</f>
        <v>kg</v>
      </c>
      <c r="F37" s="8">
        <v>4.4289999999999998E-3</v>
      </c>
    </row>
    <row r="38" spans="1:6" x14ac:dyDescent="0.3">
      <c r="A38" s="28"/>
      <c r="B38" s="28" t="str">
        <f t="shared" si="6"/>
        <v>Khăn lau đa năng 2 lớp 100 tờ khổ 190*200</v>
      </c>
      <c r="C38" s="112" t="s">
        <v>182</v>
      </c>
      <c r="D38" s="21" t="s">
        <v>138</v>
      </c>
      <c r="E38" s="8" t="str">
        <f>VLOOKUP(D38,'[2]Tong hop NVL'!$A$2:$B$131,2,0)</f>
        <v>cuộn</v>
      </c>
      <c r="F38" s="8">
        <v>1.3316095669036845E-4</v>
      </c>
    </row>
  </sheetData>
  <mergeCells count="1">
    <mergeCell ref="B1:D1"/>
  </mergeCells>
  <conditionalFormatting sqref="B25:C29">
    <cfRule type="expression" dxfId="0" priority="70">
      <formula>COUNTIFS(#REF!, #REF!, #REF!, #REF!, #REF!, #REF!) &gt; 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0CD47-0D2B-4711-8B59-368DF6C1D26E}">
  <sheetPr codeName="Sheet7"/>
  <dimension ref="A1:F17"/>
  <sheetViews>
    <sheetView topLeftCell="C1" workbookViewId="0">
      <selection activeCell="D7" sqref="D7"/>
    </sheetView>
  </sheetViews>
  <sheetFormatPr defaultColWidth="9" defaultRowHeight="18.75" x14ac:dyDescent="0.3"/>
  <cols>
    <col min="1" max="1" width="9" style="27"/>
    <col min="2" max="3" width="51.85546875" style="27" customWidth="1"/>
    <col min="4" max="5" width="50.42578125" style="27" customWidth="1"/>
    <col min="6" max="16384" width="9" style="27"/>
  </cols>
  <sheetData>
    <row r="1" spans="1:6" x14ac:dyDescent="0.3">
      <c r="B1" s="27" t="e">
        <f>#REF!</f>
        <v>#REF!</v>
      </c>
    </row>
    <row r="2" spans="1:6" x14ac:dyDescent="0.3">
      <c r="B2" s="27" t="e">
        <f>B1</f>
        <v>#REF!</v>
      </c>
    </row>
    <row r="3" spans="1:6" x14ac:dyDescent="0.3">
      <c r="A3" s="18" t="s">
        <v>42</v>
      </c>
      <c r="B3" s="19" t="s">
        <v>39</v>
      </c>
      <c r="C3" s="19"/>
      <c r="D3" s="19" t="s">
        <v>34</v>
      </c>
      <c r="E3" s="19"/>
      <c r="F3" s="44" t="s">
        <v>71</v>
      </c>
    </row>
    <row r="4" spans="1:6" ht="18.75" customHeight="1" x14ac:dyDescent="0.3">
      <c r="A4" s="5"/>
      <c r="B4" s="14" t="s">
        <v>14</v>
      </c>
      <c r="C4" s="14"/>
      <c r="D4" s="14"/>
      <c r="E4" s="14"/>
      <c r="F4" s="28"/>
    </row>
    <row r="5" spans="1:6" ht="18.75" customHeight="1" x14ac:dyDescent="0.3">
      <c r="A5" s="5"/>
      <c r="B5" s="23" t="s">
        <v>15</v>
      </c>
      <c r="C5" s="112" t="s">
        <v>182</v>
      </c>
      <c r="D5" s="91" t="s">
        <v>119</v>
      </c>
      <c r="E5" s="111" t="str">
        <f>VLOOKUP(D5,'[2]Tong hop NVL'!$A$2:$B$131,2,0)</f>
        <v>kg</v>
      </c>
      <c r="F5" s="8">
        <v>0.10500000000000001</v>
      </c>
    </row>
    <row r="6" spans="1:6" ht="18.75" customHeight="1" x14ac:dyDescent="0.3">
      <c r="A6" s="5"/>
      <c r="B6" s="12" t="str">
        <f>B5</f>
        <v>Khăn Napkin Shelton 1 lớp Hoa văn tròn 100 tờ khổ 230x230</v>
      </c>
      <c r="C6" s="112" t="s">
        <v>182</v>
      </c>
      <c r="D6" s="9" t="s">
        <v>188</v>
      </c>
      <c r="E6" s="111" t="str">
        <f>VLOOKUP(D6,'[2]Tong hop NVL'!$A$2:$B$131,2,0)</f>
        <v>kg</v>
      </c>
      <c r="F6" s="8">
        <v>4.2213114754098367E-3</v>
      </c>
    </row>
    <row r="7" spans="1:6" ht="18.75" customHeight="1" x14ac:dyDescent="0.3">
      <c r="A7" s="5"/>
      <c r="B7" s="12" t="str">
        <f t="shared" ref="B7:B8" si="0">B6</f>
        <v>Khăn Napkin Shelton 1 lớp Hoa văn tròn 100 tờ khổ 230x230</v>
      </c>
      <c r="C7" s="112" t="s">
        <v>182</v>
      </c>
      <c r="D7" s="9" t="s">
        <v>188</v>
      </c>
      <c r="E7" s="111" t="str">
        <f>VLOOKUP(D7,'[2]Tong hop NVL'!$A$2:$B$131,2,0)</f>
        <v>kg</v>
      </c>
      <c r="F7" s="8">
        <v>1.7166666666666667E-2</v>
      </c>
    </row>
    <row r="8" spans="1:6" ht="18.75" customHeight="1" x14ac:dyDescent="0.3">
      <c r="A8" s="5"/>
      <c r="B8" s="12" t="str">
        <f t="shared" si="0"/>
        <v>Khăn Napkin Shelton 1 lớp Hoa văn tròn 100 tờ khổ 230x230</v>
      </c>
      <c r="C8" s="112" t="s">
        <v>182</v>
      </c>
      <c r="D8" s="12" t="s">
        <v>138</v>
      </c>
      <c r="E8" s="111" t="str">
        <f>VLOOKUP(D8,'[2]Tong hop NVL'!$A$2:$B$131,2,0)</f>
        <v>cuộn</v>
      </c>
      <c r="F8" s="8">
        <v>2.0344035049917403E-4</v>
      </c>
    </row>
    <row r="9" spans="1:6" ht="37.5" customHeight="1" x14ac:dyDescent="0.3">
      <c r="A9" s="5"/>
      <c r="B9" s="53" t="s">
        <v>16</v>
      </c>
      <c r="C9" s="116" t="s">
        <v>183</v>
      </c>
      <c r="D9" s="91" t="s">
        <v>119</v>
      </c>
      <c r="E9" s="111" t="str">
        <f>VLOOKUP(D9,'[2]Tong hop NVL'!$A$2:$B$131,2,0)</f>
        <v>kg</v>
      </c>
      <c r="F9" s="54">
        <v>0.52500000000000002</v>
      </c>
    </row>
    <row r="10" spans="1:6" x14ac:dyDescent="0.3">
      <c r="B10" s="55" t="str">
        <f t="shared" ref="B10:B13" si="1">B9</f>
        <v xml:space="preserve">Khăn Napkin Shelton 1 lớp khổ 230x230 Bịch 0,5kg </v>
      </c>
      <c r="C10" s="116" t="s">
        <v>183</v>
      </c>
      <c r="D10" s="51" t="s">
        <v>153</v>
      </c>
      <c r="E10" s="111" t="str">
        <f>VLOOKUP(D10,'[2]Tong hop NVL'!$A$2:$B$131,2,0)</f>
        <v>cái</v>
      </c>
      <c r="F10" s="54">
        <v>5.1500000000000004E-2</v>
      </c>
    </row>
    <row r="11" spans="1:6" x14ac:dyDescent="0.3">
      <c r="B11" s="55" t="str">
        <f t="shared" si="1"/>
        <v xml:space="preserve">Khăn Napkin Shelton 1 lớp khổ 230x230 Bịch 0,5kg </v>
      </c>
      <c r="C11" s="116" t="s">
        <v>183</v>
      </c>
      <c r="D11" s="51" t="s">
        <v>162</v>
      </c>
      <c r="E11" s="111" t="str">
        <f>VLOOKUP(D11,'[2]Tong hop NVL'!$A$2:$B$131,2,0)</f>
        <v>kg</v>
      </c>
      <c r="F11" s="54">
        <v>1.3205128205128204E-2</v>
      </c>
    </row>
    <row r="12" spans="1:6" x14ac:dyDescent="0.3">
      <c r="B12" s="55" t="str">
        <f t="shared" si="1"/>
        <v xml:space="preserve">Khăn Napkin Shelton 1 lớp khổ 230x230 Bịch 0,5kg </v>
      </c>
      <c r="C12" s="116" t="s">
        <v>183</v>
      </c>
      <c r="D12" s="51" t="s">
        <v>51</v>
      </c>
      <c r="E12" s="111" t="str">
        <f>VLOOKUP(D12,'[2]Tong hop NVL'!$A$2:$B$131,2,0)</f>
        <v>cái</v>
      </c>
      <c r="F12" s="54">
        <v>1.01</v>
      </c>
    </row>
    <row r="13" spans="1:6" x14ac:dyDescent="0.3">
      <c r="B13" s="55" t="str">
        <f t="shared" si="1"/>
        <v xml:space="preserve">Khăn Napkin Shelton 1 lớp khổ 230x230 Bịch 0,5kg </v>
      </c>
      <c r="C13" s="116" t="s">
        <v>183</v>
      </c>
      <c r="D13" s="12" t="s">
        <v>138</v>
      </c>
      <c r="E13" s="111" t="str">
        <f>VLOOKUP(D13,'[2]Tong hop NVL'!$A$2:$B$131,2,0)</f>
        <v>cuộn</v>
      </c>
      <c r="F13" s="54">
        <v>7.6012712777418661E-4</v>
      </c>
    </row>
    <row r="14" spans="1:6" ht="37.5" x14ac:dyDescent="0.3">
      <c r="B14" s="53" t="s">
        <v>19</v>
      </c>
      <c r="C14" s="116" t="s">
        <v>183</v>
      </c>
      <c r="D14" s="91" t="s">
        <v>119</v>
      </c>
      <c r="E14" s="111" t="str">
        <f>VLOOKUP(D14,'[2]Tong hop NVL'!$A$2:$B$131,2,0)</f>
        <v>kg</v>
      </c>
      <c r="F14" s="54">
        <v>1.05</v>
      </c>
    </row>
    <row r="15" spans="1:6" x14ac:dyDescent="0.3">
      <c r="B15" s="55" t="str">
        <f t="shared" ref="B15:B17" si="2">B14</f>
        <v>Khăn Napkin Shelton 2 lớp khổ 240x240 Bịch 1 kg trơn</v>
      </c>
      <c r="C15" s="116" t="s">
        <v>183</v>
      </c>
      <c r="D15" s="51" t="s">
        <v>162</v>
      </c>
      <c r="E15" s="111" t="str">
        <f>VLOOKUP(D15,'[2]Tong hop NVL'!$A$2:$B$131,2,0)</f>
        <v>kg</v>
      </c>
      <c r="F15" s="54">
        <v>1.3205128205128204E-2</v>
      </c>
    </row>
    <row r="16" spans="1:6" x14ac:dyDescent="0.3">
      <c r="B16" s="55" t="str">
        <f t="shared" si="2"/>
        <v>Khăn Napkin Shelton 2 lớp khổ 240x240 Bịch 1 kg trơn</v>
      </c>
      <c r="C16" s="116" t="s">
        <v>183</v>
      </c>
      <c r="D16" s="51" t="s">
        <v>153</v>
      </c>
      <c r="E16" s="111" t="str">
        <f>VLOOKUP(D16,'[2]Tong hop NVL'!$A$2:$B$131,2,0)</f>
        <v>cái</v>
      </c>
      <c r="F16" s="54">
        <v>5.0500000000000003E-2</v>
      </c>
    </row>
    <row r="17" spans="2:6" x14ac:dyDescent="0.3">
      <c r="B17" s="28" t="str">
        <f t="shared" si="2"/>
        <v>Khăn Napkin Shelton 2 lớp khổ 240x240 Bịch 1 kg trơn</v>
      </c>
      <c r="C17" s="116" t="s">
        <v>183</v>
      </c>
      <c r="D17" s="12" t="s">
        <v>138</v>
      </c>
      <c r="E17" s="111" t="str">
        <f>VLOOKUP(D17,'[2]Tong hop NVL'!$A$2:$B$131,2,0)</f>
        <v>cuộn</v>
      </c>
      <c r="F17" s="54">
        <v>7.6012712777418661E-4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1C9A-763B-45BA-BBE2-C1597F24F3B7}">
  <sheetPr codeName="Sheet8"/>
  <dimension ref="A1:H21"/>
  <sheetViews>
    <sheetView topLeftCell="B4" workbookViewId="0">
      <selection activeCell="E7" sqref="E7:E21"/>
    </sheetView>
  </sheetViews>
  <sheetFormatPr defaultColWidth="9" defaultRowHeight="21" x14ac:dyDescent="0.35"/>
  <cols>
    <col min="1" max="1" width="9" style="38"/>
    <col min="2" max="3" width="57.7109375" style="38" customWidth="1"/>
    <col min="4" max="5" width="53.28515625" style="38" customWidth="1"/>
    <col min="6" max="6" width="27.7109375" style="38" customWidth="1"/>
    <col min="7" max="7" width="17.85546875" style="38" bestFit="1" customWidth="1"/>
    <col min="8" max="16384" width="9" style="38"/>
  </cols>
  <sheetData>
    <row r="1" spans="1:8" x14ac:dyDescent="0.35">
      <c r="B1" s="38" t="e">
        <f>#REF!</f>
        <v>#REF!</v>
      </c>
    </row>
    <row r="2" spans="1:8" x14ac:dyDescent="0.35">
      <c r="B2" s="38" t="e">
        <f>B1</f>
        <v>#REF!</v>
      </c>
    </row>
    <row r="3" spans="1:8" x14ac:dyDescent="0.35">
      <c r="B3" s="38" t="e">
        <f>B2</f>
        <v>#REF!</v>
      </c>
    </row>
    <row r="4" spans="1:8" x14ac:dyDescent="0.35">
      <c r="B4" s="38" t="e">
        <f>B3</f>
        <v>#REF!</v>
      </c>
    </row>
    <row r="5" spans="1:8" x14ac:dyDescent="0.35">
      <c r="A5" s="2" t="s">
        <v>42</v>
      </c>
      <c r="B5" s="1" t="s">
        <v>39</v>
      </c>
      <c r="C5" s="1"/>
      <c r="D5" s="1" t="s">
        <v>34</v>
      </c>
      <c r="E5" s="118"/>
      <c r="F5" s="48" t="s">
        <v>40</v>
      </c>
      <c r="G5" s="44" t="s">
        <v>71</v>
      </c>
    </row>
    <row r="6" spans="1:8" x14ac:dyDescent="0.35">
      <c r="A6" s="3"/>
      <c r="B6" s="4" t="s">
        <v>17</v>
      </c>
      <c r="C6" s="4"/>
      <c r="D6" s="4"/>
      <c r="E6" s="119"/>
      <c r="F6" s="49"/>
      <c r="G6" s="50"/>
    </row>
    <row r="7" spans="1:8" ht="35.25" customHeight="1" x14ac:dyDescent="0.35">
      <c r="A7" s="3"/>
      <c r="B7" s="56" t="s">
        <v>18</v>
      </c>
      <c r="C7" s="117" t="s">
        <v>183</v>
      </c>
      <c r="D7" s="91" t="s">
        <v>120</v>
      </c>
      <c r="E7" s="111" t="str">
        <f>VLOOKUP(D7,'[2]Tong hop NVL'!$A$2:$B$131,2,0)</f>
        <v>kg</v>
      </c>
      <c r="F7" s="61">
        <f>500/1000</f>
        <v>0.5</v>
      </c>
      <c r="G7" s="50">
        <v>0.52500000000000002</v>
      </c>
    </row>
    <row r="8" spans="1:8" ht="35.25" customHeight="1" x14ac:dyDescent="0.35">
      <c r="A8" s="3"/>
      <c r="B8" s="58" t="str">
        <f>B7</f>
        <v>Khăn Napkin Shelton 2 lớp khổ 240x240 Bịch 0,5kg</v>
      </c>
      <c r="C8" s="117" t="s">
        <v>183</v>
      </c>
      <c r="D8" s="51" t="s">
        <v>56</v>
      </c>
      <c r="E8" s="111" t="str">
        <f>VLOOKUP(D8,'[2]Tong hop NVL'!$A$2:$B$131,2,0)</f>
        <v>kg</v>
      </c>
      <c r="F8" s="61">
        <f>1/77</f>
        <v>1.2987012987012988E-2</v>
      </c>
      <c r="G8" s="50">
        <v>1.3376623376623377E-2</v>
      </c>
    </row>
    <row r="9" spans="1:8" ht="35.25" customHeight="1" x14ac:dyDescent="0.35">
      <c r="A9" s="3"/>
      <c r="B9" s="58" t="str">
        <f t="shared" ref="B9:B11" si="0">B8</f>
        <v>Khăn Napkin Shelton 2 lớp khổ 240x240 Bịch 0,5kg</v>
      </c>
      <c r="C9" s="117" t="s">
        <v>183</v>
      </c>
      <c r="D9" s="59" t="s">
        <v>88</v>
      </c>
      <c r="E9" s="111" t="str">
        <f>VLOOKUP(D9,'[2]Tong hop NVL'!$A$2:$B$131,2,0)</f>
        <v>cái</v>
      </c>
      <c r="F9" s="61">
        <v>1</v>
      </c>
      <c r="G9" s="50">
        <v>1.01</v>
      </c>
    </row>
    <row r="10" spans="1:8" ht="35.25" customHeight="1" x14ac:dyDescent="0.35">
      <c r="A10" s="3"/>
      <c r="B10" s="58" t="str">
        <f t="shared" si="0"/>
        <v>Khăn Napkin Shelton 2 lớp khổ 240x240 Bịch 0,5kg</v>
      </c>
      <c r="C10" s="117" t="s">
        <v>183</v>
      </c>
      <c r="D10" s="51" t="s">
        <v>153</v>
      </c>
      <c r="E10" s="111" t="str">
        <f>VLOOKUP(D10,'[2]Tong hop NVL'!$A$2:$B$131,2,0)</f>
        <v>cái</v>
      </c>
      <c r="F10" s="61">
        <f>1/20</f>
        <v>0.05</v>
      </c>
      <c r="G10" s="50">
        <v>5.1500000000000004E-2</v>
      </c>
      <c r="H10" s="38" t="s">
        <v>163</v>
      </c>
    </row>
    <row r="11" spans="1:8" ht="35.25" customHeight="1" x14ac:dyDescent="0.35">
      <c r="A11" s="3"/>
      <c r="B11" s="58" t="str">
        <f t="shared" si="0"/>
        <v>Khăn Napkin Shelton 2 lớp khổ 240x240 Bịch 0,5kg</v>
      </c>
      <c r="C11" s="117" t="s">
        <v>183</v>
      </c>
      <c r="D11" s="57" t="s">
        <v>138</v>
      </c>
      <c r="E11" s="111" t="str">
        <f>VLOOKUP(D11,'[2]Tong hop NVL'!$A$2:$B$131,2,0)</f>
        <v>cuộn</v>
      </c>
      <c r="F11" s="61">
        <f>274/20/18564</f>
        <v>7.3798750269338503E-4</v>
      </c>
      <c r="G11" s="50">
        <v>7.6012712777418661E-4</v>
      </c>
    </row>
    <row r="12" spans="1:8" ht="35.25" customHeight="1" x14ac:dyDescent="0.35">
      <c r="A12" s="3"/>
      <c r="B12" s="56" t="s">
        <v>19</v>
      </c>
      <c r="C12" s="117" t="s">
        <v>183</v>
      </c>
      <c r="D12" s="91" t="s">
        <v>120</v>
      </c>
      <c r="E12" s="111" t="str">
        <f>VLOOKUP(D12,'[2]Tong hop NVL'!$A$2:$B$131,2,0)</f>
        <v>kg</v>
      </c>
      <c r="F12" s="61">
        <f>1000/1000</f>
        <v>1</v>
      </c>
      <c r="G12" s="50">
        <v>1.05</v>
      </c>
    </row>
    <row r="13" spans="1:8" ht="35.25" customHeight="1" x14ac:dyDescent="0.35">
      <c r="A13" s="3"/>
      <c r="B13" s="58" t="str">
        <f t="shared" ref="B13:B16" si="1">B12</f>
        <v>Khăn Napkin Shelton 2 lớp khổ 240x240 Bịch 1 kg trơn</v>
      </c>
      <c r="C13" s="117" t="s">
        <v>183</v>
      </c>
      <c r="D13" s="51" t="s">
        <v>153</v>
      </c>
      <c r="E13" s="111" t="str">
        <f>VLOOKUP(D13,'[2]Tong hop NVL'!$A$2:$B$131,2,0)</f>
        <v>cái</v>
      </c>
      <c r="F13" s="61">
        <f>1/20</f>
        <v>0.05</v>
      </c>
      <c r="G13" s="50">
        <v>5.1500000000000004E-2</v>
      </c>
      <c r="H13" s="38" t="s">
        <v>163</v>
      </c>
    </row>
    <row r="14" spans="1:8" ht="35.25" customHeight="1" x14ac:dyDescent="0.35">
      <c r="A14" s="3"/>
      <c r="B14" s="58" t="str">
        <f t="shared" si="1"/>
        <v>Khăn Napkin Shelton 2 lớp khổ 240x240 Bịch 1 kg trơn</v>
      </c>
      <c r="C14" s="117" t="s">
        <v>183</v>
      </c>
      <c r="D14" s="51" t="s">
        <v>56</v>
      </c>
      <c r="E14" s="111" t="str">
        <f>VLOOKUP(D14,'[2]Tong hop NVL'!$A$2:$B$131,2,0)</f>
        <v>kg</v>
      </c>
      <c r="F14" s="61">
        <f>1/77</f>
        <v>1.2987012987012988E-2</v>
      </c>
      <c r="G14" s="50">
        <v>1.3376623376623377E-2</v>
      </c>
      <c r="H14" s="38" t="str">
        <f>+'[1]LSX 16.06.25'!$H$52</f>
        <v>77c/kg</v>
      </c>
    </row>
    <row r="15" spans="1:8" ht="35.25" customHeight="1" x14ac:dyDescent="0.35">
      <c r="A15" s="3"/>
      <c r="B15" s="58" t="str">
        <f t="shared" si="1"/>
        <v>Khăn Napkin Shelton 2 lớp khổ 240x240 Bịch 1 kg trơn</v>
      </c>
      <c r="C15" s="117" t="s">
        <v>183</v>
      </c>
      <c r="D15" s="59" t="s">
        <v>88</v>
      </c>
      <c r="E15" s="111" t="str">
        <f>VLOOKUP(D15,'[2]Tong hop NVL'!$A$2:$B$131,2,0)</f>
        <v>cái</v>
      </c>
      <c r="F15" s="61">
        <v>1</v>
      </c>
      <c r="G15" s="50">
        <v>1.03</v>
      </c>
    </row>
    <row r="16" spans="1:8" ht="35.25" customHeight="1" x14ac:dyDescent="0.35">
      <c r="A16" s="3"/>
      <c r="B16" s="58" t="str">
        <f t="shared" si="1"/>
        <v>Khăn Napkin Shelton 2 lớp khổ 240x240 Bịch 1 kg trơn</v>
      </c>
      <c r="C16" s="117" t="s">
        <v>183</v>
      </c>
      <c r="D16" s="57" t="s">
        <v>138</v>
      </c>
      <c r="E16" s="111" t="str">
        <f>VLOOKUP(D16,'[2]Tong hop NVL'!$A$2:$B$131,2,0)</f>
        <v>cuộn</v>
      </c>
      <c r="F16" s="61">
        <f>274/20/18564</f>
        <v>7.3798750269338503E-4</v>
      </c>
      <c r="G16" s="50">
        <v>7.6012712777418661E-4</v>
      </c>
    </row>
    <row r="17" spans="1:7" ht="35.25" customHeight="1" x14ac:dyDescent="0.35">
      <c r="A17" s="3"/>
      <c r="B17" s="56" t="s">
        <v>70</v>
      </c>
      <c r="C17" s="117" t="s">
        <v>183</v>
      </c>
      <c r="D17" s="91" t="s">
        <v>120</v>
      </c>
      <c r="E17" s="111" t="str">
        <f>VLOOKUP(D17,'[2]Tong hop NVL'!$A$2:$B$131,2,0)</f>
        <v>kg</v>
      </c>
      <c r="F17" s="61">
        <v>0.9</v>
      </c>
      <c r="G17" s="50">
        <v>0.94500000000000006</v>
      </c>
    </row>
    <row r="18" spans="1:7" x14ac:dyDescent="0.35">
      <c r="B18" s="60" t="str">
        <f t="shared" ref="B18:B21" si="2">B17</f>
        <v xml:space="preserve">Khăn Napkin Shelton 2 lớp khổ 240x240 Bịch 0,9kg </v>
      </c>
      <c r="C18" s="117" t="s">
        <v>183</v>
      </c>
      <c r="D18" s="51" t="s">
        <v>153</v>
      </c>
      <c r="E18" s="111" t="str">
        <f>VLOOKUP(D18,'[2]Tong hop NVL'!$A$2:$B$131,2,0)</f>
        <v>cái</v>
      </c>
      <c r="F18" s="61">
        <f>1/20</f>
        <v>0.05</v>
      </c>
      <c r="G18" s="50">
        <v>5.1500000000000004E-2</v>
      </c>
    </row>
    <row r="19" spans="1:7" x14ac:dyDescent="0.35">
      <c r="B19" s="60" t="str">
        <f t="shared" si="2"/>
        <v xml:space="preserve">Khăn Napkin Shelton 2 lớp khổ 240x240 Bịch 0,9kg </v>
      </c>
      <c r="C19" s="117" t="s">
        <v>183</v>
      </c>
      <c r="D19" s="51" t="s">
        <v>56</v>
      </c>
      <c r="E19" s="111" t="str">
        <f>VLOOKUP(D19,'[2]Tong hop NVL'!$A$2:$B$131,2,0)</f>
        <v>kg</v>
      </c>
      <c r="F19" s="61">
        <f>1/77</f>
        <v>1.2987012987012988E-2</v>
      </c>
      <c r="G19" s="50">
        <v>1.3376623376623377E-2</v>
      </c>
    </row>
    <row r="20" spans="1:7" x14ac:dyDescent="0.35">
      <c r="B20" s="60" t="str">
        <f t="shared" si="2"/>
        <v xml:space="preserve">Khăn Napkin Shelton 2 lớp khổ 240x240 Bịch 0,9kg </v>
      </c>
      <c r="C20" s="117" t="s">
        <v>183</v>
      </c>
      <c r="D20" s="57" t="s">
        <v>88</v>
      </c>
      <c r="E20" s="111" t="str">
        <f>VLOOKUP(D20,'[2]Tong hop NVL'!$A$2:$B$131,2,0)</f>
        <v>cái</v>
      </c>
      <c r="F20" s="61">
        <v>1</v>
      </c>
      <c r="G20" s="50">
        <v>1.03</v>
      </c>
    </row>
    <row r="21" spans="1:7" x14ac:dyDescent="0.35">
      <c r="B21" s="60" t="str">
        <f t="shared" si="2"/>
        <v xml:space="preserve">Khăn Napkin Shelton 2 lớp khổ 240x240 Bịch 0,9kg </v>
      </c>
      <c r="C21" s="117" t="s">
        <v>183</v>
      </c>
      <c r="D21" s="57" t="s">
        <v>138</v>
      </c>
      <c r="E21" s="111" t="str">
        <f>VLOOKUP(D21,'[2]Tong hop NVL'!$A$2:$B$131,2,0)</f>
        <v>cuộn</v>
      </c>
      <c r="F21" s="61">
        <f>274/20/18564</f>
        <v>7.3798750269338503E-4</v>
      </c>
      <c r="G21" s="50">
        <v>7.6012712777418661E-4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9133-516A-4A0C-9A62-3601277B419D}">
  <sheetPr codeName="Sheet9"/>
  <dimension ref="A1:H16"/>
  <sheetViews>
    <sheetView workbookViewId="0">
      <selection activeCell="D17" sqref="D17"/>
    </sheetView>
  </sheetViews>
  <sheetFormatPr defaultColWidth="9" defaultRowHeight="18.75" x14ac:dyDescent="0.3"/>
  <cols>
    <col min="1" max="1" width="9" style="27"/>
    <col min="2" max="3" width="44.140625" style="27" customWidth="1"/>
    <col min="4" max="5" width="51.5703125" style="27" customWidth="1"/>
    <col min="6" max="6" width="24.42578125" style="27" customWidth="1"/>
    <col min="7" max="7" width="16.42578125" style="27" bestFit="1" customWidth="1"/>
    <col min="8" max="16384" width="9" style="27"/>
  </cols>
  <sheetData>
    <row r="1" spans="1:8" x14ac:dyDescent="0.3">
      <c r="B1" s="27" t="e">
        <f>#REF!</f>
        <v>#REF!</v>
      </c>
    </row>
    <row r="2" spans="1:8" x14ac:dyDescent="0.3">
      <c r="B2" s="27" t="e">
        <f>B1</f>
        <v>#REF!</v>
      </c>
    </row>
    <row r="3" spans="1:8" x14ac:dyDescent="0.3">
      <c r="B3" s="27" t="e">
        <f>B2</f>
        <v>#REF!</v>
      </c>
    </row>
    <row r="4" spans="1:8" x14ac:dyDescent="0.3">
      <c r="A4" s="18" t="s">
        <v>42</v>
      </c>
      <c r="B4" s="19" t="s">
        <v>39</v>
      </c>
      <c r="C4" s="19"/>
      <c r="D4" s="19" t="s">
        <v>34</v>
      </c>
      <c r="E4" s="19"/>
      <c r="F4" s="7" t="s">
        <v>40</v>
      </c>
      <c r="G4" s="44" t="s">
        <v>71</v>
      </c>
    </row>
    <row r="5" spans="1:8" ht="45" customHeight="1" x14ac:dyDescent="0.3">
      <c r="A5" s="5"/>
      <c r="B5" s="23" t="s">
        <v>186</v>
      </c>
      <c r="C5" s="112" t="s">
        <v>182</v>
      </c>
      <c r="D5" s="92" t="s">
        <v>121</v>
      </c>
      <c r="E5" s="101" t="str">
        <f>VLOOKUP(D5,'[2]Tong hop NVL'!$A$2:$B$131,2,0)</f>
        <v>kg</v>
      </c>
      <c r="F5" s="8">
        <v>0.2</v>
      </c>
      <c r="G5" s="27">
        <v>0.21000000000000002</v>
      </c>
    </row>
    <row r="6" spans="1:8" ht="28.5" customHeight="1" x14ac:dyDescent="0.3">
      <c r="A6" s="5"/>
      <c r="B6" s="12" t="str">
        <f>B5</f>
        <v>Khăn Napkin Shelton 1 lớp  hoa văn tròn 100 tờ khổ 330x330</v>
      </c>
      <c r="C6" s="112" t="s">
        <v>182</v>
      </c>
      <c r="D6" s="9" t="s">
        <v>187</v>
      </c>
      <c r="E6" s="101" t="str">
        <f>VLOOKUP(D6,'[2]Tong hop NVL'!$A$2:$B$131,2,0)</f>
        <v>kg</v>
      </c>
      <c r="F6" s="8">
        <v>6.8965517241379309E-3</v>
      </c>
      <c r="G6" s="27">
        <v>7.1034482758620694E-3</v>
      </c>
    </row>
    <row r="7" spans="1:8" ht="28.5" customHeight="1" x14ac:dyDescent="0.3">
      <c r="A7" s="5"/>
      <c r="B7" s="12" t="str">
        <f t="shared" ref="B7:B8" si="0">B6</f>
        <v>Khăn Napkin Shelton 1 lớp  hoa văn tròn 100 tờ khổ 330x330</v>
      </c>
      <c r="C7" s="112" t="s">
        <v>182</v>
      </c>
      <c r="D7" s="9" t="s">
        <v>67</v>
      </c>
      <c r="E7" s="101" t="str">
        <f>VLOOKUP(D7,'[2]Tong hop NVL'!$A$2:$B$131,2,0)</f>
        <v>Cái</v>
      </c>
      <c r="F7" s="8">
        <v>2.0833333333333332E-2</v>
      </c>
      <c r="G7" s="27">
        <v>2.1458333333333333E-2</v>
      </c>
    </row>
    <row r="8" spans="1:8" ht="28.5" customHeight="1" x14ac:dyDescent="0.3">
      <c r="A8" s="5"/>
      <c r="B8" s="12" t="str">
        <f t="shared" si="0"/>
        <v>Khăn Napkin Shelton 1 lớp  hoa văn tròn 100 tờ khổ 330x330</v>
      </c>
      <c r="C8" s="112" t="s">
        <v>182</v>
      </c>
      <c r="D8" s="9" t="s">
        <v>138</v>
      </c>
      <c r="E8" s="101" t="str">
        <f>VLOOKUP(D8,'[2]Tong hop NVL'!$A$2:$B$131,2,0)</f>
        <v>cuộn</v>
      </c>
      <c r="F8" s="8">
        <v>2.8280542986425342E-4</v>
      </c>
      <c r="G8" s="27">
        <v>2.9128959276018102E-4</v>
      </c>
    </row>
    <row r="9" spans="1:8" ht="28.5" customHeight="1" x14ac:dyDescent="0.3">
      <c r="A9" s="5"/>
      <c r="B9" s="23" t="s">
        <v>20</v>
      </c>
      <c r="C9" s="112" t="s">
        <v>182</v>
      </c>
      <c r="D9" s="92" t="s">
        <v>121</v>
      </c>
      <c r="E9" s="101" t="str">
        <f>VLOOKUP(D9,'[2]Tong hop NVL'!$A$2:$B$131,2,0)</f>
        <v>kg</v>
      </c>
      <c r="F9" s="8">
        <v>0.2</v>
      </c>
      <c r="G9" s="27">
        <v>0.21000000000000002</v>
      </c>
    </row>
    <row r="10" spans="1:8" ht="28.5" customHeight="1" x14ac:dyDescent="0.3">
      <c r="A10" s="5"/>
      <c r="B10" s="12" t="str">
        <f t="shared" ref="B10:B12" si="1">B9</f>
        <v>Khăn Napkin Shelton 1 lớp  Lá xanh 100 tờ khổ 330x330</v>
      </c>
      <c r="C10" s="112" t="s">
        <v>182</v>
      </c>
      <c r="D10" s="20" t="s">
        <v>68</v>
      </c>
      <c r="E10" s="101" t="str">
        <f>VLOOKUP(D10,'[2]Tong hop NVL'!$A$2:$B$131,2,0)</f>
        <v>Kg</v>
      </c>
      <c r="F10" s="8">
        <v>7.1428571428571426E-3</v>
      </c>
      <c r="G10" s="27">
        <v>7.3571428571428572E-3</v>
      </c>
    </row>
    <row r="11" spans="1:8" ht="28.5" customHeight="1" x14ac:dyDescent="0.3">
      <c r="A11" s="5"/>
      <c r="B11" s="12" t="str">
        <f t="shared" si="1"/>
        <v>Khăn Napkin Shelton 1 lớp  Lá xanh 100 tờ khổ 330x330</v>
      </c>
      <c r="C11" s="112" t="s">
        <v>182</v>
      </c>
      <c r="D11" s="51" t="s">
        <v>67</v>
      </c>
      <c r="E11" s="101" t="str">
        <f>VLOOKUP(D11,'[2]Tong hop NVL'!$A$2:$B$131,2,0)</f>
        <v>Cái</v>
      </c>
      <c r="F11" s="8">
        <v>2.0833333333333332E-2</v>
      </c>
      <c r="G11" s="27">
        <v>2.1458333333333333E-2</v>
      </c>
    </row>
    <row r="12" spans="1:8" ht="28.5" customHeight="1" x14ac:dyDescent="0.3">
      <c r="A12" s="5"/>
      <c r="B12" s="12" t="str">
        <f t="shared" si="1"/>
        <v>Khăn Napkin Shelton 1 lớp  Lá xanh 100 tờ khổ 330x330</v>
      </c>
      <c r="C12" s="112" t="s">
        <v>182</v>
      </c>
      <c r="D12" s="9" t="s">
        <v>138</v>
      </c>
      <c r="E12" s="101" t="str">
        <f>VLOOKUP(D12,'[2]Tong hop NVL'!$A$2:$B$131,2,0)</f>
        <v>cuộn</v>
      </c>
      <c r="F12" s="8">
        <v>2.8280542986425342E-4</v>
      </c>
      <c r="G12" s="27">
        <v>2.9128959276018102E-4</v>
      </c>
    </row>
    <row r="13" spans="1:8" ht="28.5" customHeight="1" x14ac:dyDescent="0.3">
      <c r="A13" s="5"/>
      <c r="B13" s="29" t="s">
        <v>52</v>
      </c>
      <c r="C13" s="114" t="s">
        <v>183</v>
      </c>
      <c r="D13" s="92" t="s">
        <v>121</v>
      </c>
      <c r="E13" s="101" t="str">
        <f>VLOOKUP(D13,'[2]Tong hop NVL'!$A$2:$B$131,2,0)</f>
        <v>kg</v>
      </c>
      <c r="F13" s="8">
        <v>1</v>
      </c>
      <c r="G13" s="27">
        <v>1.05</v>
      </c>
    </row>
    <row r="14" spans="1:8" ht="28.5" customHeight="1" x14ac:dyDescent="0.3">
      <c r="A14" s="5"/>
      <c r="B14" s="12" t="str">
        <f t="shared" ref="B14:B16" si="2">B13</f>
        <v>Khăn NK 33 *33 cân bịch 1kg</v>
      </c>
      <c r="C14" s="114" t="s">
        <v>183</v>
      </c>
      <c r="D14" s="9" t="s">
        <v>69</v>
      </c>
      <c r="E14" s="101" t="str">
        <f>VLOOKUP(D14,'[2]Tong hop NVL'!$A$2:$B$131,2,0)</f>
        <v>kg</v>
      </c>
      <c r="F14" s="8">
        <v>1.1111111111111112E-2</v>
      </c>
      <c r="G14" s="27">
        <v>1.1444444444444445E-2</v>
      </c>
    </row>
    <row r="15" spans="1:8" ht="28.5" customHeight="1" x14ac:dyDescent="0.3">
      <c r="A15" s="5"/>
      <c r="B15" s="12" t="str">
        <f t="shared" si="2"/>
        <v>Khăn NK 33 *33 cân bịch 1kg</v>
      </c>
      <c r="C15" s="114" t="s">
        <v>183</v>
      </c>
      <c r="D15" s="51" t="s">
        <v>153</v>
      </c>
      <c r="E15" s="101" t="str">
        <f>VLOOKUP(D15,'[2]Tong hop NVL'!$A$2:$B$131,2,0)</f>
        <v>cái</v>
      </c>
      <c r="F15" s="8">
        <v>0.05</v>
      </c>
      <c r="G15" s="27">
        <v>5.1500000000000004E-2</v>
      </c>
      <c r="H15" s="27" t="s">
        <v>164</v>
      </c>
    </row>
    <row r="16" spans="1:8" ht="28.5" customHeight="1" x14ac:dyDescent="0.3">
      <c r="A16" s="5"/>
      <c r="B16" s="12" t="str">
        <f t="shared" si="2"/>
        <v>Khăn NK 33 *33 cân bịch 1kg</v>
      </c>
      <c r="C16" s="114" t="s">
        <v>183</v>
      </c>
      <c r="D16" s="9" t="s">
        <v>138</v>
      </c>
      <c r="E16" s="101" t="str">
        <f>VLOOKUP(D16,'[2]Tong hop NVL'!$A$2:$B$131,2,0)</f>
        <v>cuộn</v>
      </c>
      <c r="F16" s="8">
        <v>6.7873303167420812E-4</v>
      </c>
      <c r="G16" s="27">
        <v>6.9909502262443439E-4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C5FD-A7FE-4668-9D82-D7285F590BA1}">
  <sheetPr codeName="Sheet10"/>
  <dimension ref="A1:G33"/>
  <sheetViews>
    <sheetView zoomScale="70" zoomScaleNormal="70" workbookViewId="0">
      <selection activeCell="A24" sqref="A24:XFD24"/>
    </sheetView>
  </sheetViews>
  <sheetFormatPr defaultRowHeight="15" x14ac:dyDescent="0.25"/>
  <cols>
    <col min="1" max="1" width="25.7109375" customWidth="1"/>
    <col min="2" max="2" width="44.85546875" customWidth="1"/>
    <col min="3" max="3" width="44.85546875" style="102" customWidth="1"/>
    <col min="4" max="4" width="24.7109375" bestFit="1" customWidth="1"/>
    <col min="5" max="5" width="23.42578125" style="102" customWidth="1"/>
    <col min="6" max="6" width="10.85546875" customWidth="1"/>
  </cols>
  <sheetData>
    <row r="1" spans="1:7" x14ac:dyDescent="0.25">
      <c r="A1" t="e">
        <f>#REF!</f>
        <v>#REF!</v>
      </c>
      <c r="B1" t="e">
        <f>#REF!</f>
        <v>#REF!</v>
      </c>
    </row>
    <row r="2" spans="1:7" ht="56.25" x14ac:dyDescent="0.3">
      <c r="A2" s="19" t="s">
        <v>81</v>
      </c>
      <c r="B2" s="19" t="s">
        <v>82</v>
      </c>
      <c r="C2" s="19"/>
      <c r="D2" s="46" t="s">
        <v>83</v>
      </c>
      <c r="E2" s="106"/>
      <c r="F2" s="43" t="s">
        <v>84</v>
      </c>
      <c r="G2" s="45"/>
    </row>
    <row r="3" spans="1:7" ht="22.5" customHeight="1" x14ac:dyDescent="0.25">
      <c r="A3" s="45" t="str">
        <f>A2</f>
        <v>Mã sp</v>
      </c>
      <c r="B3" s="45" t="str">
        <f>B2</f>
        <v>Tên TP</v>
      </c>
      <c r="C3" s="103"/>
      <c r="D3" s="45"/>
      <c r="E3" s="103"/>
      <c r="F3" s="45"/>
      <c r="G3" s="45"/>
    </row>
    <row r="4" spans="1:7" ht="22.5" customHeight="1" x14ac:dyDescent="0.25">
      <c r="A4" s="52" t="s">
        <v>72</v>
      </c>
      <c r="B4" s="52" t="s">
        <v>73</v>
      </c>
      <c r="C4" s="120" t="s">
        <v>175</v>
      </c>
      <c r="D4" s="92" t="s">
        <v>165</v>
      </c>
      <c r="E4" s="101" t="str">
        <f>VLOOKUP(D4,[2]!tblTongHopNVL[[Tên NVL (Tên sheet)]:[Ðõn vo tính (cot D)]],2,0)</f>
        <v>Kg</v>
      </c>
      <c r="F4" s="47">
        <v>0.93870000000000009</v>
      </c>
      <c r="G4" s="45"/>
    </row>
    <row r="5" spans="1:7" ht="22.5" customHeight="1" x14ac:dyDescent="0.25">
      <c r="A5" s="52" t="s">
        <v>72</v>
      </c>
      <c r="B5" s="52" t="s">
        <v>73</v>
      </c>
      <c r="C5" s="120" t="s">
        <v>175</v>
      </c>
      <c r="D5" s="91" t="s">
        <v>166</v>
      </c>
      <c r="E5" s="101" t="str">
        <f>VLOOKUP(D5,[2]!tblTongHopNVL[[Tên NVL (Tên sheet)]:[Ðõn vo tính (cot D)]],2,0)</f>
        <v>Kg</v>
      </c>
      <c r="F5" s="47">
        <v>0.93870000000000009</v>
      </c>
      <c r="G5" s="45"/>
    </row>
    <row r="6" spans="1:7" ht="22.5" customHeight="1" x14ac:dyDescent="0.25">
      <c r="A6" s="52" t="s">
        <v>72</v>
      </c>
      <c r="B6" s="52" t="s">
        <v>73</v>
      </c>
      <c r="C6" s="120" t="s">
        <v>175</v>
      </c>
      <c r="D6" s="92" t="s">
        <v>167</v>
      </c>
      <c r="E6" s="101" t="str">
        <f>VLOOKUP(D6,[2]!tblTongHopNVL[[Tên NVL (Tên sheet)]:[Ðõn vo tính (cot D)]],2,0)</f>
        <v>Kg</v>
      </c>
      <c r="F6" s="47">
        <v>0.93870000000000009</v>
      </c>
      <c r="G6" s="45"/>
    </row>
    <row r="7" spans="1:7" ht="22.5" customHeight="1" x14ac:dyDescent="0.25">
      <c r="A7" s="52" t="s">
        <v>72</v>
      </c>
      <c r="B7" s="52" t="s">
        <v>73</v>
      </c>
      <c r="C7" s="120" t="s">
        <v>175</v>
      </c>
      <c r="D7" s="47" t="s">
        <v>35</v>
      </c>
      <c r="E7" s="101" t="str">
        <f>VLOOKUP(D7,[2]!tblTongHopNVL[[Tên NVL (Tên sheet)]:[Ðõn vo tính (cot D)]],2,0)</f>
        <v>ống</v>
      </c>
      <c r="F7" s="47">
        <v>3.3225806451612903E-2</v>
      </c>
      <c r="G7" s="45"/>
    </row>
    <row r="8" spans="1:7" ht="22.5" customHeight="1" x14ac:dyDescent="0.25">
      <c r="A8" s="52" t="s">
        <v>72</v>
      </c>
      <c r="B8" s="52" t="s">
        <v>73</v>
      </c>
      <c r="C8" s="120" t="s">
        <v>175</v>
      </c>
      <c r="D8" s="91" t="s">
        <v>168</v>
      </c>
      <c r="E8" s="101" t="str">
        <f>VLOOKUP(D8,[2]!tblTongHopNVL[[Tên NVL (Tên sheet)]:[Ðõn vo tính (cot D)]],2,0)</f>
        <v>kg</v>
      </c>
      <c r="F8" s="47">
        <v>6.4375000000000005E-3</v>
      </c>
      <c r="G8" s="45"/>
    </row>
    <row r="9" spans="1:7" ht="22.5" customHeight="1" x14ac:dyDescent="0.25">
      <c r="A9" s="52" t="s">
        <v>72</v>
      </c>
      <c r="B9" s="52" t="s">
        <v>73</v>
      </c>
      <c r="C9" s="120" t="s">
        <v>175</v>
      </c>
      <c r="D9" s="104" t="s">
        <v>138</v>
      </c>
      <c r="E9" s="101" t="str">
        <f>VLOOKUP(D9,[2]!tblTongHopNVL[[Tên NVL (Tên sheet)]:[Ðõn vo tính (cot D)]],2,0)</f>
        <v>cuộn</v>
      </c>
      <c r="F9" s="45">
        <v>6.0338558500323207E-4</v>
      </c>
      <c r="G9" s="45"/>
    </row>
    <row r="10" spans="1:7" ht="22.5" customHeight="1" x14ac:dyDescent="0.25">
      <c r="A10" s="52" t="s">
        <v>74</v>
      </c>
      <c r="B10" s="52" t="s">
        <v>75</v>
      </c>
      <c r="C10" s="120" t="s">
        <v>175</v>
      </c>
      <c r="D10" s="91" t="s">
        <v>170</v>
      </c>
      <c r="E10" s="101" t="str">
        <f>VLOOKUP(D10,[2]!tblTongHopNVL[[Tên NVL (Tên sheet)]:[Ðõn vo tính (cot D)]],2,0)</f>
        <v>Kg</v>
      </c>
      <c r="F10" s="47">
        <v>0.93870000000000009</v>
      </c>
      <c r="G10" s="45"/>
    </row>
    <row r="11" spans="1:7" s="102" customFormat="1" ht="22.5" customHeight="1" x14ac:dyDescent="0.25">
      <c r="A11" s="52" t="s">
        <v>74</v>
      </c>
      <c r="B11" s="52" t="s">
        <v>75</v>
      </c>
      <c r="C11" s="120" t="s">
        <v>175</v>
      </c>
      <c r="D11" s="92" t="s">
        <v>165</v>
      </c>
      <c r="E11" s="101" t="str">
        <f>VLOOKUP(D11,[2]!tblTongHopNVL[[Tên NVL (Tên sheet)]:[Ðõn vo tính (cot D)]],2,0)</f>
        <v>Kg</v>
      </c>
      <c r="F11" s="105">
        <v>0.93870000000000009</v>
      </c>
      <c r="G11" s="103"/>
    </row>
    <row r="12" spans="1:7" ht="22.5" customHeight="1" x14ac:dyDescent="0.25">
      <c r="A12" s="52" t="s">
        <v>74</v>
      </c>
      <c r="B12" s="52" t="s">
        <v>75</v>
      </c>
      <c r="C12" s="120" t="s">
        <v>175</v>
      </c>
      <c r="D12" s="47" t="s">
        <v>85</v>
      </c>
      <c r="E12" s="101" t="str">
        <f>VLOOKUP(D12,[2]!tblTongHopNVL[[Tên NVL (Tên sheet)]:[Ðõn vo tính (cot D)]],2,0)</f>
        <v>ống</v>
      </c>
      <c r="F12" s="47">
        <v>3.3225806451612903E-2</v>
      </c>
      <c r="G12" s="45"/>
    </row>
    <row r="13" spans="1:7" ht="22.5" customHeight="1" x14ac:dyDescent="0.25">
      <c r="A13" s="52" t="s">
        <v>74</v>
      </c>
      <c r="B13" s="52" t="s">
        <v>75</v>
      </c>
      <c r="C13" s="120" t="s">
        <v>175</v>
      </c>
      <c r="D13" s="91" t="s">
        <v>171</v>
      </c>
      <c r="E13" s="101" t="str">
        <f>VLOOKUP(D13,[2]!tblTongHopNVL[[Tên NVL (Tên sheet)]:[Ðõn vo tính (cot D)]],2,0)</f>
        <v>cái</v>
      </c>
      <c r="F13" s="47">
        <v>6.4375000000000002E-2</v>
      </c>
      <c r="G13" s="45"/>
    </row>
    <row r="14" spans="1:7" ht="22.5" customHeight="1" x14ac:dyDescent="0.25">
      <c r="A14" s="52" t="s">
        <v>74</v>
      </c>
      <c r="B14" s="52" t="s">
        <v>75</v>
      </c>
      <c r="C14" s="120" t="s">
        <v>175</v>
      </c>
      <c r="D14" s="91" t="s">
        <v>169</v>
      </c>
      <c r="E14" s="101" t="str">
        <f>VLOOKUP(D14,[2]!tblTongHopNVL[[Tên NVL (Tên sheet)]:[Ðõn vo tính (cot D)]],2,0)</f>
        <v>kg</v>
      </c>
      <c r="F14" s="45">
        <v>6.4375000000000005E-3</v>
      </c>
      <c r="G14" s="45"/>
    </row>
    <row r="15" spans="1:7" ht="22.5" customHeight="1" x14ac:dyDescent="0.25">
      <c r="A15" s="52" t="s">
        <v>74</v>
      </c>
      <c r="B15" s="52" t="s">
        <v>75</v>
      </c>
      <c r="C15" s="120" t="s">
        <v>175</v>
      </c>
      <c r="D15" s="104" t="s">
        <v>138</v>
      </c>
      <c r="E15" s="101" t="str">
        <f>VLOOKUP(D15,[2]!tblTongHopNVL[[Tên NVL (Tên sheet)]:[Ðõn vo tính (cot D)]],2,0)</f>
        <v>cuộn</v>
      </c>
      <c r="F15" s="45">
        <v>6.0338558500323207E-4</v>
      </c>
      <c r="G15" s="45"/>
    </row>
    <row r="16" spans="1:7" ht="22.5" customHeight="1" x14ac:dyDescent="0.25">
      <c r="A16" s="52" t="s">
        <v>76</v>
      </c>
      <c r="B16" s="52" t="s">
        <v>77</v>
      </c>
      <c r="C16" s="120" t="s">
        <v>175</v>
      </c>
      <c r="D16" s="91" t="s">
        <v>170</v>
      </c>
      <c r="E16" s="101" t="str">
        <f>VLOOKUP(D16,[2]!tblTongHopNVL[[Tên NVL (Tên sheet)]:[Ðõn vo tính (cot D)]],2,0)</f>
        <v>Kg</v>
      </c>
      <c r="F16" s="45">
        <v>0.93870000000000009</v>
      </c>
      <c r="G16" s="45"/>
    </row>
    <row r="17" spans="1:7" ht="22.5" customHeight="1" x14ac:dyDescent="0.25">
      <c r="A17" s="52" t="s">
        <v>76</v>
      </c>
      <c r="B17" s="52" t="s">
        <v>77</v>
      </c>
      <c r="C17" s="120" t="s">
        <v>175</v>
      </c>
      <c r="D17" s="92" t="s">
        <v>165</v>
      </c>
      <c r="E17" s="101" t="str">
        <f>VLOOKUP(D17,[2]!tblTongHopNVL[[Tên NVL (Tên sheet)]:[Ðõn vo tính (cot D)]],2,0)</f>
        <v>Kg</v>
      </c>
      <c r="F17" s="47">
        <v>0.93870000000000009</v>
      </c>
      <c r="G17" s="45"/>
    </row>
    <row r="18" spans="1:7" ht="22.5" customHeight="1" x14ac:dyDescent="0.25">
      <c r="A18" s="52" t="s">
        <v>76</v>
      </c>
      <c r="B18" s="52" t="s">
        <v>77</v>
      </c>
      <c r="C18" s="120" t="s">
        <v>175</v>
      </c>
      <c r="D18" s="47" t="s">
        <v>85</v>
      </c>
      <c r="E18" s="101" t="str">
        <f>VLOOKUP(D18,[2]!tblTongHopNVL[[Tên NVL (Tên sheet)]:[Ðõn vo tính (cot D)]],2,0)</f>
        <v>ống</v>
      </c>
      <c r="F18" s="47">
        <v>3.3225806451612903E-2</v>
      </c>
      <c r="G18" s="45"/>
    </row>
    <row r="19" spans="1:7" ht="22.5" customHeight="1" x14ac:dyDescent="0.25">
      <c r="A19" s="52" t="s">
        <v>76</v>
      </c>
      <c r="B19" s="52" t="s">
        <v>77</v>
      </c>
      <c r="C19" s="120" t="s">
        <v>175</v>
      </c>
      <c r="D19" s="91" t="s">
        <v>171</v>
      </c>
      <c r="E19" s="101" t="str">
        <f>VLOOKUP(D19,[2]!tblTongHopNVL[[Tên NVL (Tên sheet)]:[Ðõn vo tính (cot D)]],2,0)</f>
        <v>cái</v>
      </c>
      <c r="F19" s="47">
        <v>6.3125000000000001E-2</v>
      </c>
      <c r="G19" s="45"/>
    </row>
    <row r="20" spans="1:7" ht="22.5" customHeight="1" x14ac:dyDescent="0.25">
      <c r="A20" s="52" t="s">
        <v>76</v>
      </c>
      <c r="B20" s="52" t="s">
        <v>77</v>
      </c>
      <c r="C20" s="120" t="s">
        <v>175</v>
      </c>
      <c r="D20" s="45" t="s">
        <v>138</v>
      </c>
      <c r="E20" s="101" t="str">
        <f>VLOOKUP(D20,[2]!tblTongHopNVL[[Tên NVL (Tên sheet)]:[Ðõn vo tính (cot D)]],2,0)</f>
        <v>cuộn</v>
      </c>
      <c r="F20" s="45">
        <v>6.0338558500323207E-4</v>
      </c>
      <c r="G20" s="45"/>
    </row>
    <row r="21" spans="1:7" ht="22.5" customHeight="1" x14ac:dyDescent="0.25">
      <c r="A21" s="52" t="s">
        <v>78</v>
      </c>
      <c r="B21" s="52" t="s">
        <v>86</v>
      </c>
      <c r="C21" s="120" t="s">
        <v>175</v>
      </c>
      <c r="D21" s="91" t="s">
        <v>170</v>
      </c>
      <c r="E21" s="101" t="str">
        <f>VLOOKUP(D21,[2]!tblTongHopNVL[[Tên NVL (Tên sheet)]:[Ðõn vo tính (cot D)]],2,0)</f>
        <v>Kg</v>
      </c>
      <c r="F21" s="45">
        <v>0.93870000000000009</v>
      </c>
      <c r="G21" s="45"/>
    </row>
    <row r="22" spans="1:7" s="102" customFormat="1" ht="22.5" customHeight="1" x14ac:dyDescent="0.25">
      <c r="A22" s="52" t="s">
        <v>78</v>
      </c>
      <c r="B22" s="52" t="s">
        <v>86</v>
      </c>
      <c r="C22" s="120" t="s">
        <v>175</v>
      </c>
      <c r="D22" s="92" t="s">
        <v>165</v>
      </c>
      <c r="E22" s="101" t="str">
        <f>VLOOKUP(D22,[2]!tblTongHopNVL[[Tên NVL (Tên sheet)]:[Ðõn vo tính (cot D)]],2,0)</f>
        <v>Kg</v>
      </c>
      <c r="F22" s="103">
        <v>0.93870000000000009</v>
      </c>
      <c r="G22" s="103"/>
    </row>
    <row r="23" spans="1:7" ht="22.5" customHeight="1" x14ac:dyDescent="0.25">
      <c r="A23" s="52" t="s">
        <v>78</v>
      </c>
      <c r="B23" s="52" t="s">
        <v>86</v>
      </c>
      <c r="C23" s="120" t="s">
        <v>175</v>
      </c>
      <c r="D23" s="47" t="s">
        <v>85</v>
      </c>
      <c r="E23" s="101" t="str">
        <f>VLOOKUP(D23,[2]!tblTongHopNVL[[Tên NVL (Tên sheet)]:[Ðõn vo tính (cot D)]],2,0)</f>
        <v>ống</v>
      </c>
      <c r="F23" s="47">
        <v>3.3225806451612903E-2</v>
      </c>
      <c r="G23" s="45"/>
    </row>
    <row r="24" spans="1:7" ht="22.5" customHeight="1" x14ac:dyDescent="0.25">
      <c r="A24" s="52" t="s">
        <v>78</v>
      </c>
      <c r="B24" s="52" t="s">
        <v>86</v>
      </c>
      <c r="C24" s="120" t="s">
        <v>175</v>
      </c>
      <c r="D24" s="92" t="s">
        <v>172</v>
      </c>
      <c r="E24" s="101" t="str">
        <f>VLOOKUP(D24,[2]!tblTongHopNVL[[Tên NVL (Tên sheet)]:[Ðõn vo tính (cot D)]],2,0)</f>
        <v>kg</v>
      </c>
      <c r="F24" s="47">
        <v>6.3125000000000001E-2</v>
      </c>
      <c r="G24" s="45"/>
    </row>
    <row r="25" spans="1:7" ht="22.5" customHeight="1" x14ac:dyDescent="0.25">
      <c r="A25" s="52" t="s">
        <v>78</v>
      </c>
      <c r="B25" s="52" t="s">
        <v>86</v>
      </c>
      <c r="C25" s="120" t="s">
        <v>175</v>
      </c>
      <c r="D25" s="91" t="s">
        <v>169</v>
      </c>
      <c r="E25" s="101" t="str">
        <f>VLOOKUP(D25,[2]!tblTongHopNVL[[Tên NVL (Tên sheet)]:[Ðõn vo tính (cot D)]],2,0)</f>
        <v>kg</v>
      </c>
      <c r="F25" s="45">
        <v>6.4375000000000005E-3</v>
      </c>
      <c r="G25" s="45"/>
    </row>
    <row r="26" spans="1:7" ht="22.5" customHeight="1" x14ac:dyDescent="0.25">
      <c r="A26" s="52" t="s">
        <v>78</v>
      </c>
      <c r="B26" s="52" t="s">
        <v>86</v>
      </c>
      <c r="C26" s="120" t="s">
        <v>175</v>
      </c>
      <c r="D26" s="104" t="s">
        <v>138</v>
      </c>
      <c r="E26" s="101" t="str">
        <f>VLOOKUP(D26,[2]!tblTongHopNVL[[Tên NVL (Tên sheet)]:[Ðõn vo tính (cot D)]],2,0)</f>
        <v>cuộn</v>
      </c>
      <c r="F26" s="45">
        <v>6.0338558500323207E-4</v>
      </c>
      <c r="G26" s="45"/>
    </row>
    <row r="27" spans="1:7" ht="22.5" customHeight="1" x14ac:dyDescent="0.25">
      <c r="A27" s="52" t="s">
        <v>79</v>
      </c>
      <c r="B27" s="52" t="s">
        <v>80</v>
      </c>
      <c r="C27" s="120" t="s">
        <v>175</v>
      </c>
      <c r="D27" s="91" t="s">
        <v>170</v>
      </c>
      <c r="E27" s="101" t="str">
        <f>VLOOKUP(D27,[2]!tblTongHopNVL[[Tên NVL (Tên sheet)]:[Ðõn vo tính (cot D)]],2,0)</f>
        <v>Kg</v>
      </c>
      <c r="F27" s="45">
        <v>0.93870000000000009</v>
      </c>
      <c r="G27" s="45"/>
    </row>
    <row r="28" spans="1:7" ht="22.5" customHeight="1" x14ac:dyDescent="0.25">
      <c r="A28" s="52" t="s">
        <v>79</v>
      </c>
      <c r="B28" s="52" t="s">
        <v>80</v>
      </c>
      <c r="C28" s="120" t="s">
        <v>175</v>
      </c>
      <c r="D28" s="92" t="s">
        <v>165</v>
      </c>
      <c r="E28" s="101" t="str">
        <f>VLOOKUP(D28,[2]!tblTongHopNVL[[Tên NVL (Tên sheet)]:[Ðõn vo tính (cot D)]],2,0)</f>
        <v>Kg</v>
      </c>
      <c r="F28" s="47">
        <v>0.93870000000000009</v>
      </c>
      <c r="G28" s="45"/>
    </row>
    <row r="29" spans="1:7" ht="22.5" customHeight="1" x14ac:dyDescent="0.25">
      <c r="A29" s="52" t="s">
        <v>79</v>
      </c>
      <c r="B29" s="52" t="s">
        <v>80</v>
      </c>
      <c r="C29" s="120" t="s">
        <v>175</v>
      </c>
      <c r="D29" s="47" t="s">
        <v>87</v>
      </c>
      <c r="E29" s="101" t="str">
        <f>VLOOKUP(D29,[2]!tblTongHopNVL[[Tên NVL (Tên sheet)]:[Ðõn vo tính (cot D)]],2,0)</f>
        <v>ống</v>
      </c>
      <c r="F29" s="47">
        <v>3.3225806451612903E-2</v>
      </c>
      <c r="G29" s="45"/>
    </row>
    <row r="30" spans="1:7" ht="35.25" customHeight="1" x14ac:dyDescent="0.25">
      <c r="A30" s="52" t="s">
        <v>79</v>
      </c>
      <c r="B30" s="52" t="s">
        <v>80</v>
      </c>
      <c r="C30" s="120" t="s">
        <v>175</v>
      </c>
      <c r="D30" s="91" t="s">
        <v>171</v>
      </c>
      <c r="E30" s="101" t="str">
        <f>VLOOKUP(D30,[2]!tblTongHopNVL[[Tên NVL (Tên sheet)]:[Ðõn vo tính (cot D)]],2,0)</f>
        <v>cái</v>
      </c>
      <c r="F30" s="47">
        <v>6.3125000000000001E-2</v>
      </c>
      <c r="G30" s="45"/>
    </row>
    <row r="31" spans="1:7" s="102" customFormat="1" ht="35.25" customHeight="1" x14ac:dyDescent="0.25">
      <c r="A31" s="52" t="s">
        <v>79</v>
      </c>
      <c r="B31" s="52" t="s">
        <v>80</v>
      </c>
      <c r="C31" s="120" t="s">
        <v>175</v>
      </c>
      <c r="D31" s="92" t="s">
        <v>173</v>
      </c>
      <c r="E31" s="101" t="str">
        <f>VLOOKUP(D31,[2]!tblTongHopNVL[[Tên NVL (Tên sheet)]:[Ðõn vo tính (cot D)]],2,0)</f>
        <v>cái</v>
      </c>
      <c r="F31" s="105">
        <v>6.3125000000000001E-2</v>
      </c>
      <c r="G31" s="103"/>
    </row>
    <row r="32" spans="1:7" ht="22.5" customHeight="1" x14ac:dyDescent="0.25">
      <c r="A32" s="52" t="s">
        <v>79</v>
      </c>
      <c r="B32" s="52" t="s">
        <v>80</v>
      </c>
      <c r="C32" s="120" t="s">
        <v>175</v>
      </c>
      <c r="D32" s="91" t="s">
        <v>169</v>
      </c>
      <c r="E32" s="101" t="str">
        <f>VLOOKUP(D32,[2]!tblTongHopNVL[[Tên NVL (Tên sheet)]:[Ðõn vo tính (cot D)]],2,0)</f>
        <v>kg</v>
      </c>
      <c r="F32" s="66">
        <v>6.4375000000000005E-3</v>
      </c>
      <c r="G32" s="45"/>
    </row>
    <row r="33" spans="1:7" ht="22.5" customHeight="1" x14ac:dyDescent="0.25">
      <c r="A33" s="52" t="s">
        <v>79</v>
      </c>
      <c r="B33" s="52" t="s">
        <v>80</v>
      </c>
      <c r="C33" s="120" t="s">
        <v>175</v>
      </c>
      <c r="D33" s="104" t="s">
        <v>138</v>
      </c>
      <c r="E33" s="101" t="str">
        <f>VLOOKUP(D33,[2]!tblTongHopNVL[[Tên NVL (Tên sheet)]:[Ðõn vo tính (cot D)]],2,0)</f>
        <v>cuộn</v>
      </c>
      <c r="F33" s="45">
        <v>6.0338558500323207E-4</v>
      </c>
      <c r="G33" s="4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gvsCN</vt:lpstr>
      <vt:lpstr>gvs nhỏ</vt:lpstr>
      <vt:lpstr>Sheet1</vt:lpstr>
      <vt:lpstr>Rút đáy</vt:lpstr>
      <vt:lpstr>Rút trên</vt:lpstr>
      <vt:lpstr>Máy 760</vt:lpstr>
      <vt:lpstr>NK23</vt:lpstr>
      <vt:lpstr>NK24</vt:lpstr>
      <vt:lpstr>NK33</vt:lpstr>
      <vt:lpstr>hàng gia công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Manh Nguyen</cp:lastModifiedBy>
  <dcterms:created xsi:type="dcterms:W3CDTF">2025-04-14T02:46:40Z</dcterms:created>
  <dcterms:modified xsi:type="dcterms:W3CDTF">2025-10-20T03:34:46Z</dcterms:modified>
</cp:coreProperties>
</file>